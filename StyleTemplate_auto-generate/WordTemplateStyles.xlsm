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RSuite_Word-template\StyleTemplate_auto-generate\"/>
    </mc:Choice>
  </mc:AlternateContent>
  <bookViews>
    <workbookView xWindow="0" yWindow="465" windowWidth="35715" windowHeight="1912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94" i="1" l="1"/>
  <c r="A199" i="1"/>
  <c r="A200" i="1"/>
  <c r="A201" i="1"/>
  <c r="A202" i="1"/>
  <c r="A203" i="1"/>
  <c r="A204" i="1"/>
  <c r="A205" i="1"/>
  <c r="CS199" i="1"/>
  <c r="CS200" i="1"/>
  <c r="CS201" i="1"/>
  <c r="CS202" i="1"/>
  <c r="CS203" i="1"/>
  <c r="CS204" i="1"/>
  <c r="CS205" i="1"/>
  <c r="A192" i="1"/>
  <c r="CS192" i="1"/>
  <c r="E192" i="1"/>
  <c r="A49" i="1"/>
  <c r="CS49" i="1"/>
  <c r="E174" i="1"/>
  <c r="E184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4" i="1"/>
  <c r="CS184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7" i="1"/>
  <c r="CS187" i="1"/>
  <c r="A186" i="1"/>
  <c r="CS186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1" i="1"/>
  <c r="E190" i="1"/>
  <c r="E189" i="1"/>
  <c r="E188" i="1"/>
  <c r="E185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5" i="1"/>
  <c r="A188" i="1"/>
  <c r="A189" i="1"/>
  <c r="A190" i="1"/>
  <c r="A191" i="1"/>
  <c r="CS36" i="1"/>
  <c r="CS191" i="1"/>
  <c r="CS190" i="1"/>
  <c r="CS189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5" i="1"/>
  <c r="CS188" i="1"/>
  <c r="A193" i="1"/>
  <c r="A195" i="1"/>
  <c r="A196" i="1"/>
  <c r="A197" i="1"/>
  <c r="A198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3" i="1"/>
  <c r="CS194" i="1"/>
  <c r="CS195" i="1"/>
  <c r="CS196" i="1"/>
  <c r="CS197" i="1"/>
  <c r="CS198" i="1"/>
</calcChain>
</file>

<file path=xl/sharedStrings.xml><?xml version="1.0" encoding="utf-8"?>
<sst xmlns="http://schemas.openxmlformats.org/spreadsheetml/2006/main" count="2314" uniqueCount="752">
  <si>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</si>
  <si>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</si>
  <si>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</si>
  <si>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</si>
  <si>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</si>
  <si>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</si>
  <si>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</si>
  <si>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</si>
  <si>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</si>
  <si>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</si>
  <si>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</si>
  <si>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</si>
  <si>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</si>
  <si>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</si>
  <si>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</si>
  <si>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</si>
  <si>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</si>
  <si>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</si>
  <si>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</si>
  <si>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</si>
  <si>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</si>
  <si>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</si>
  <si>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</si>
  <si>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</si>
  <si>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</si>
  <si>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</si>
  <si>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</si>
  <si>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</si>
  <si>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</si>
  <si>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</si>
  <si>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</si>
  <si>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</si>
  <si>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</si>
  <si>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</si>
  <si>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</si>
  <si>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</si>
  <si>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</si>
  <si>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</si>
  <si>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</si>
  <si>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</si>
  <si>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</si>
  <si>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</si>
  <si>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</si>
  <si>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</si>
  <si>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</si>
  <si>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</si>
  <si>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</si>
  <si>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</si>
  <si>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</si>
  <si>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</si>
  <si>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</si>
  <si>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</si>
  <si>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</si>
  <si>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</si>
  <si>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</si>
  <si>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</si>
  <si>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</si>
  <si>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</si>
  <si>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</si>
  <si>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</si>
  <si>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</si>
  <si>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</si>
  <si>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</si>
  <si>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</si>
  <si>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</si>
  <si>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</si>
  <si>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</si>
  <si>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</si>
  <si>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</si>
  <si>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</si>
  <si>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</si>
  <si>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</si>
  <si>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</si>
  <si>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</si>
  <si>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</si>
  <si>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</si>
  <si>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</si>
  <si>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</si>
  <si>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</si>
  <si>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</si>
  <si>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</si>
  <si>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</si>
  <si>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</si>
  <si>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</si>
  <si>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</si>
  <si>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</si>
  <si>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</si>
  <si>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</si>
  <si>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</si>
  <si>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</si>
  <si>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</si>
  <si>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</si>
  <si>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</si>
  <si>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</si>
  <si>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</si>
  <si>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</si>
  <si>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</si>
  <si>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</si>
  <si>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</si>
  <si>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</si>
  <si>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</si>
  <si>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</si>
  <si>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</si>
  <si>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</si>
  <si>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</si>
  <si>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</si>
  <si>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</si>
  <si>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</si>
  <si>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</si>
  <si>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</si>
  <si>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</si>
  <si>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</si>
  <si>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</si>
  <si>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</si>
  <si>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</si>
  <si>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</si>
  <si>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</si>
  <si>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</si>
  <si>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</si>
  <si>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</si>
  <si>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</si>
  <si>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</si>
  <si>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</si>
  <si>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</si>
  <si>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</si>
  <si>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</si>
  <si>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</si>
  <si>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</si>
  <si>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</si>
  <si>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</si>
  <si>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</si>
  <si>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</si>
  <si>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</si>
  <si>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</si>
  <si>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</si>
  <si>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</si>
  <si>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</si>
  <si>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</si>
  <si>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</si>
  <si>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</si>
  <si>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</si>
  <si>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</si>
  <si>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</si>
  <si>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</si>
  <si>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</si>
  <si>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</si>
  <si>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</si>
  <si>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</si>
  <si>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</si>
  <si>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</si>
  <si>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</si>
  <si>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</si>
  <si>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</si>
  <si>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</si>
  <si>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</si>
  <si>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</si>
  <si>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</si>
  <si>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</si>
  <si>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</si>
  <si>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</si>
  <si>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</si>
  <si>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</si>
  <si>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</si>
  <si>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</si>
  <si>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</si>
  <si>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</si>
  <si>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</si>
  <si>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</si>
  <si>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</si>
  <si>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</si>
  <si>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</si>
  <si>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</si>
  <si>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</si>
  <si>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</si>
  <si>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</si>
  <si>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</si>
  <si>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</si>
  <si>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</si>
  <si>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</si>
  <si>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</si>
  <si>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</si>
  <si>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</si>
  <si>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</si>
  <si>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</si>
  <si>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</si>
  <si>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</si>
  <si>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</si>
  <si>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</si>
  <si>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</si>
  <si>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</si>
  <si>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</si>
  <si>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</si>
  <si>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</si>
  <si>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</si>
  <si>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</si>
  <si>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</si>
  <si>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</si>
  <si>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</si>
  <si>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</si>
  <si>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</si>
  <si>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</si>
  <si>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</si>
  <si>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</si>
  <si>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</si>
  <si>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</si>
  <si>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</si>
  <si>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</si>
  <si>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</si>
  <si>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</si>
  <si>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</si>
  <si>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</si>
  <si>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</si>
  <si>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</si>
  <si>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</si>
  <si>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</si>
  <si>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</si>
  <si>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</si>
  <si>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</si>
  <si>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</si>
  <si>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</si>
  <si>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</si>
  <si>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</si>
  <si>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</si>
  <si>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</si>
  <si>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</si>
  <si>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</si>
  <si>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</si>
  <si>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</si>
  <si>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</si>
  <si>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</si>
  <si>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</si>
  <si>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</si>
  <si>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</si>
  <si>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</si>
  <si>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</si>
  <si>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</si>
  <si>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</si>
  <si>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</si>
  <si>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</si>
  <si>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</si>
  <si>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</si>
  <si>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</si>
  <si>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</si>
  <si>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</si>
  <si>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</si>
  <si>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</si>
  <si>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</si>
  <si>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</si>
  <si>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</si>
  <si>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</si>
  <si>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</si>
  <si>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</si>
  <si>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</si>
  <si>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</si>
  <si>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</si>
  <si>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</si>
  <si>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</si>
  <si>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</si>
  <si>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</si>
  <si>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</si>
  <si>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</si>
  <si>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</si>
  <si>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</si>
  <si>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</si>
  <si>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</si>
  <si>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</si>
  <si>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</si>
  <si>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</si>
  <si>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</si>
  <si>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</si>
  <si>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</si>
  <si>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</si>
  <si>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</si>
  <si>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</si>
  <si>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</si>
  <si>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</si>
  <si>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</si>
  <si>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</si>
  <si>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</si>
  <si>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</si>
  <si>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</si>
  <si>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</si>
  <si>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</si>
  <si>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</si>
  <si>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</si>
  <si>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</si>
  <si>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</si>
  <si>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</si>
  <si>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</si>
  <si>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</si>
  <si>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</si>
  <si>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</si>
  <si>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</si>
  <si>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</si>
  <si>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</si>
  <si>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</si>
  <si>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</si>
  <si>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</si>
  <si>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</si>
  <si>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</si>
  <si>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</si>
  <si>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</si>
  <si>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</si>
  <si>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</si>
  <si>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</si>
  <si>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</si>
  <si>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</si>
  <si>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</si>
  <si>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</si>
  <si>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</si>
  <si>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</si>
  <si>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</si>
  <si>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</si>
  <si>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</si>
  <si>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</si>
  <si>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</si>
  <si>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</si>
  <si>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</si>
  <si>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</si>
  <si>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</si>
  <si>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</si>
  <si>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</si>
  <si>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</si>
  <si>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</si>
  <si>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</si>
  <si>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</si>
  <si>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</si>
  <si>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</si>
  <si>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</si>
  <si>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</si>
  <si>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</si>
  <si>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</si>
  <si>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</si>
  <si>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</si>
  <si>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</si>
  <si>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</si>
  <si>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</si>
  <si>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</si>
  <si>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</si>
  <si>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</si>
  <si>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</si>
  <si>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</si>
  <si>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</si>
  <si>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</si>
  <si>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</si>
  <si>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</si>
  <si>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</si>
  <si>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</si>
  <si>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</si>
  <si>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</si>
  <si>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</si>
  <si>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</si>
  <si>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</si>
  <si>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</si>
  <si>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</si>
  <si>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</si>
  <si>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</si>
  <si>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</si>
  <si>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</si>
  <si>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</si>
  <si>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</si>
  <si>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</si>
  <si>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</si>
  <si>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</si>
  <si>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</si>
  <si>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</si>
  <si>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</si>
  <si>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</si>
  <si>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</si>
  <si>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</si>
  <si>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</si>
  <si>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</si>
  <si>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</si>
  <si>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</si>
  <si>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</si>
  <si>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</si>
  <si>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</si>
  <si>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</si>
  <si>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</si>
  <si>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</si>
  <si>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</si>
  <si>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</si>
  <si>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</si>
  <si>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</si>
  <si>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</si>
  <si>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</si>
  <si>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</si>
  <si>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</si>
  <si>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</si>
  <si>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</si>
  <si>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</si>
  <si>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</si>
  <si>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</si>
  <si>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</si>
  <si>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</si>
  <si>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</si>
  <si>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</si>
  <si>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</si>
  <si>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</si>
  <si>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</si>
  <si>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</si>
  <si>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</si>
  <si>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</si>
  <si>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</si>
  <si>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</si>
  <si>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</si>
  <si>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</si>
  <si>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</si>
  <si>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</si>
  <si>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</si>
  <si>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</si>
  <si>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</si>
  <si>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</si>
  <si>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</si>
  <si>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</si>
  <si>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</si>
  <si>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</si>
  <si>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</si>
  <si>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</si>
  <si>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</si>
  <si>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</si>
  <si>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</si>
  <si>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</si>
  <si>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</si>
  <si>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</si>
  <si>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</si>
  <si>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</si>
  <si>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</si>
  <si>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</si>
  <si>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</si>
  <si>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</si>
  <si>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</si>
  <si>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</si>
  <si>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</si>
  <si>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</si>
  <si>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</si>
  <si>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</si>
  <si>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</si>
  <si>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</si>
  <si>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</si>
  <si>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</si>
  <si>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</si>
  <si>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</si>
  <si>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</si>
  <si>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</si>
  <si>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</si>
  <si>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</si>
  <si>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</si>
  <si>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</si>
  <si>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</si>
  <si>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</si>
  <si>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</si>
  <si>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</si>
  <si>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</si>
  <si>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</si>
  <si>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</si>
  <si>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</si>
  <si>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</si>
  <si>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</si>
  <si>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</si>
  <si>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</si>
  <si>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</si>
  <si>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</si>
  <si>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</si>
  <si>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</si>
  <si>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</si>
  <si>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</si>
  <si>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</si>
  <si>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</si>
  <si>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</si>
  <si>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</si>
  <si>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</si>
  <si>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</si>
  <si>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</si>
  <si>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</si>
  <si>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</si>
  <si>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</si>
  <si>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</si>
  <si>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</si>
  <si>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</si>
  <si>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</si>
  <si>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</si>
  <si>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</si>
  <si>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</si>
  <si>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</si>
  <si>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</si>
  <si>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</si>
  <si>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</si>
  <si>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</si>
  <si>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</si>
  <si>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</si>
  <si>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</si>
  <si>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</si>
  <si>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</si>
  <si>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</si>
  <si>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</si>
  <si>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</si>
  <si>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</si>
  <si>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</si>
  <si>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</si>
  <si>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</si>
  <si>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</si>
  <si>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</si>
  <si>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</si>
  <si>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</si>
  <si>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</si>
  <si>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</si>
  <si>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</si>
  <si>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</si>
  <si>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</si>
  <si>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</si>
  <si>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</si>
  <si>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</si>
  <si>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</si>
  <si>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</si>
  <si>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</si>
  <si>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</si>
  <si>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</si>
  <si>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</si>
  <si>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</si>
  <si>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</si>
  <si>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</si>
  <si>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</si>
  <si>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</si>
  <si>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</si>
  <si>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</si>
  <si>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</si>
  <si>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</si>
  <si>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</si>
  <si>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</si>
  <si>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</si>
  <si>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</si>
  <si>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</si>
  <si>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</si>
  <si>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</si>
  <si>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</si>
  <si>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</si>
  <si>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</si>
  <si>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</si>
  <si>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</si>
  <si>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</si>
  <si>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</si>
  <si>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</si>
  <si>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</si>
  <si>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</si>
  <si>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</si>
  <si>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</si>
  <si>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</si>
  <si>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</si>
  <si>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</si>
  <si>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</si>
  <si>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</si>
  <si>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</si>
  <si>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</si>
  <si>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</si>
  <si>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</si>
  <si>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</si>
  <si>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</si>
  <si>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</si>
  <si>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</si>
  <si>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</si>
  <si>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</si>
  <si>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</si>
  <si>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</si>
  <si>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</si>
  <si>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</si>
  <si>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</si>
  <si>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</si>
  <si>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</si>
  <si>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</si>
  <si>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</si>
  <si>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</si>
  <si>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</si>
  <si>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</si>
  <si>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</si>
  <si>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</si>
  <si>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</si>
  <si>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</si>
  <si>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</si>
  <si>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</si>
  <si>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</si>
  <si>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</si>
  <si>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</si>
  <si>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</si>
  <si>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</si>
  <si>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</si>
  <si>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</si>
  <si>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</si>
  <si>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</si>
  <si>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</si>
  <si>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</si>
  <si>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</si>
  <si>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</si>
  <si>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</si>
  <si>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</si>
  <si>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</si>
  <si>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</si>
  <si>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</si>
  <si>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</si>
  <si>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</si>
  <si>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</si>
  <si>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</si>
  <si>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</si>
  <si>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</si>
  <si>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</si>
  <si>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</si>
  <si>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</si>
  <si>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</si>
  <si>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</si>
  <si>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</si>
  <si>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</si>
  <si>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</si>
  <si>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</si>
  <si>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</si>
  <si>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</si>
  <si>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</si>
  <si>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</si>
  <si>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</si>
  <si>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</si>
  <si>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</si>
  <si>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</si>
  <si>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</si>
  <si>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</si>
  <si>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</si>
  <si>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</si>
  <si>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</si>
  <si>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</si>
  <si>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</si>
  <si>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</si>
  <si>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</si>
  <si>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</si>
  <si>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</si>
  <si>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</si>
  <si>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</si>
  <si>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</si>
  <si>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</si>
  <si>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</si>
  <si>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</si>
  <si>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</si>
  <si>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</si>
  <si>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</si>
  <si>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</si>
  <si>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</si>
  <si>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</si>
  <si>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</si>
  <si>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</si>
  <si>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</si>
  <si>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</si>
  <si>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</si>
  <si>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</si>
  <si>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</si>
  <si>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</si>
  <si>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</si>
  <si>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</si>
  <si>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</si>
  <si>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</si>
  <si>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</si>
  <si>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</si>
  <si>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</si>
  <si>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</si>
  <si>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</si>
  <si>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</si>
  <si>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</si>
  <si>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</si>
  <si>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</si>
  <si>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</si>
  <si>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</si>
  <si>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</si>
  <si>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</si>
  <si>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</si>
  <si>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</si>
  <si>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</si>
  <si>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0, 102, 0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</si>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</sst>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8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Styles" displayName="Styles" ref="A3:CX205" totalsRowShown="0" headerRowDxfId="105" dataDxfId="103" headerRowBorderDxfId="104" tableBorderDxfId="102">
  <autoFilter ref="A3:CX205"/>
  <sortState ref="A4:CR481">
    <sortCondition ref="F3:F481"/>
  </sortState>
  <tableColumns count="102">
    <tableColumn id="1" name="Full_Style_Name" dataDxfId="101">
      <calculatedColumnFormula>IF($D4="","",TRIM($C4)&amp;" "&amp;CHAR(40)&amp;TRIM($D4)&amp;CHAR(41))</calculatedColumnFormula>
    </tableColumn>
    <tableColumn id="2" name="Usage_Notes" dataDxfId="100"/>
    <tableColumn id="3" name="Style_Name" dataDxfId="99"/>
    <tableColumn id="4" name="Style_Code" dataDxfId="98"/>
    <tableColumn id="5" name="NextParagraphStyle" dataDxfId="97"/>
    <tableColumn id="6" name="Priority" dataDxfId="96"/>
    <tableColumn id="7" name="QuickStyle" dataDxfId="95"/>
    <tableColumn id="8" name="Type" dataDxfId="94"/>
    <tableColumn id="9" name="Font.name" dataDxfId="93"/>
    <tableColumn id="10" name="Font.Size" dataDxfId="92"/>
    <tableColumn id="11" name="Font.Italic" dataDxfId="91"/>
    <tableColumn id="12" name="Font.Bold" dataDxfId="90"/>
    <tableColumn id="13" name="Font.TextColor" dataDxfId="89"/>
    <tableColumn id="14" name="Font.Underline" dataDxfId="88"/>
    <tableColumn id="15" name="Font.SmallCaps" dataDxfId="87"/>
    <tableColumn id="16" name="Font.Superscript" dataDxfId="86"/>
    <tableColumn id="17" name="Font.Subscript" dataDxfId="85"/>
    <tableColumn id="18" name="Font.StrikeThrough" dataDxfId="84"/>
    <tableColumn id="19" name="shortcut_keys_enabled_tf" dataDxfId="83"/>
    <tableColumn id="20" name="shortcut_keys__shift_tf" dataDxfId="82"/>
    <tableColumn id="21" name="shortcut_keys__control_tf" dataDxfId="81"/>
    <tableColumn id="22" name="shortcut_keys__alt_tf" dataDxfId="80"/>
    <tableColumn id="23" name="shortcut_keys__letter" dataDxfId="79"/>
    <tableColumn id="24" name="NoSpaceBetweenParagraphsOfSameStyle" dataDxfId="78"/>
    <tableColumn id="25" name="Bullet" dataDxfId="77"/>
    <tableColumn id="26" name="Checklist" dataDxfId="76"/>
    <tableColumn id="27" name="ParagraphFormat.LeftIndent" dataDxfId="75"/>
    <tableColumn id="28" name="ParagraphFormat.RightIndent" dataDxfId="74"/>
    <tableColumn id="29" name="ParagraphFormat.SpaceBefore" dataDxfId="73"/>
    <tableColumn id="30" name="ParagraphFormat.SpaceAfter" dataDxfId="72"/>
    <tableColumn id="31" name="ParagraphFormat.LineSpacingRule" dataDxfId="71"/>
    <tableColumn id="32" name="ParagraphFormat.LineSpacing" dataDxfId="70"/>
    <tableColumn id="33" name="ParagraphFormat.Alignment" dataDxfId="69"/>
    <tableColumn id="34" name="ParagraphFormat.FirstLineIndent" dataDxfId="68"/>
    <tableColumn id="35" name="ParagraphFormat.OutlineLevel" dataDxfId="67"/>
    <tableColumn id="36" name="ParagraphFormat.PageBreakBefore" dataDxfId="66"/>
    <tableColumn id="37" name="ParagraphFormat.WidowControl" dataDxfId="65"/>
    <tableColumn id="38" name="Borders(-1)" dataDxfId="64"/>
    <tableColumn id="39" name="Borders(-1).Color" dataDxfId="63"/>
    <tableColumn id="40" name="Borders(-1).LineStyle" dataDxfId="62"/>
    <tableColumn id="41" name="Borders(-1).LineWidth" dataDxfId="61"/>
    <tableColumn id="42" name="Borders(-2)" dataDxfId="60"/>
    <tableColumn id="43" name="Borders(-2).Color" dataDxfId="59"/>
    <tableColumn id="44" name="Borders(-2).LineStyle" dataDxfId="58"/>
    <tableColumn id="45" name="Borders(-2).LineWidth" dataDxfId="57"/>
    <tableColumn id="46" name="Borders(-3)" dataDxfId="56"/>
    <tableColumn id="47" name="Borders(-3).Color" dataDxfId="55"/>
    <tableColumn id="48" name="Borders(-3).LineStyle" dataDxfId="54"/>
    <tableColumn id="49" name="Borders(-3).LineWidth" dataDxfId="53"/>
    <tableColumn id="50" name="Borders(-4)" dataDxfId="52"/>
    <tableColumn id="51" name="Borders(-4).Color" dataDxfId="51"/>
    <tableColumn id="52" name="Borders(-4).LineStyle" dataDxfId="50"/>
    <tableColumn id="53" name="Borders(-4).LineWidth" dataDxfId="49"/>
    <tableColumn id="54" name="Borders.DistanceFromLeft" dataDxfId="48"/>
    <tableColumn id="55" name="Borders.DistanceFromRight" dataDxfId="47"/>
    <tableColumn id="56" name="Borders.DistanceFromTop" dataDxfId="46"/>
    <tableColumn id="57" name="Borders.DistanceFromBottom" dataDxfId="45"/>
    <tableColumn id="58" name="ParagraphFormat.Shading.BackgroundPatternColor" dataDxfId="44"/>
    <tableColumn id="59" name="Font.Borders(1).Color" dataDxfId="43"/>
    <tableColumn id="60" name="Font.Borders(1).LineStyle" dataDxfId="42"/>
    <tableColumn id="61" name="Font.Borders(1).LineWidth" dataDxfId="41"/>
    <tableColumn id="62" name="Font.Shading.BackgroundPatternColor" dataDxfId="40"/>
    <tableColumn id="63" name="BaseStyle" dataDxfId="39"/>
    <tableColumn id="64" name="ListLevelNumber" dataDxfId="38"/>
    <tableColumn id="65" name="NoProofing" dataDxfId="37"/>
    <tableColumn id="66" name="no_export.tag" dataDxfId="36"/>
    <tableColumn id="67" name="no_export.requiredparent" dataDxfId="35"/>
    <tableColumn id="68" name="no_export.toplevelparent" dataDxfId="34"/>
    <tableColumn id="69" name="no_export.parentdatatype" dataDxfId="33"/>
    <tableColumn id="70" name="no_export.parent" dataDxfId="32"/>
    <tableColumn id="71" name="html.partheads" dataDxfId="31"/>
    <tableColumn id="72" name="html.headingparas" dataDxfId="30"/>
    <tableColumn id="73" name="html.extractparas" dataDxfId="29"/>
    <tableColumn id="74" name="html.epigraphparas" dataDxfId="28"/>
    <tableColumn id="75" name="html.verseparas" dataDxfId="27"/>
    <tableColumn id="100" name="html.containerparas" dataDxfId="26"/>
    <tableColumn id="99" name="html.containerendparas" dataDxfId="25"/>
    <tableColumn id="78" name="html.illustrationparas" dataDxfId="24"/>
    <tableColumn id="79" name="html.imageholders" dataDxfId="23"/>
    <tableColumn id="80" name="html.captionparas" dataDxfId="22"/>
    <tableColumn id="81" name="html.illustrationsrcparas" dataDxfId="21"/>
    <tableColumn id="82" name="html.unorderedlistparaslevel1" dataDxfId="20"/>
    <tableColumn id="83" name="html.orderedlistparaslevel1" dataDxfId="19"/>
    <tableColumn id="84" name="html.unorderedlistparaslevel2" dataDxfId="18"/>
    <tableColumn id="85" name="html.orderedlistparaslevel2" dataDxfId="17"/>
    <tableColumn id="101" name="html.unorderedlistparaslevel3" dataDxfId="16"/>
    <tableColumn id="102" name="html.orderedlistparaslevel3" dataDxfId="15"/>
    <tableColumn id="103" name="html.listparaparas" dataDxfId="14"/>
    <tableColumn id="97" name="html.chaptertitleparas" dataDxfId="13"/>
    <tableColumn id="98" name="html.chapternumberparas" dataDxfId="12"/>
    <tableColumn id="86" name="html.omitparas" dataDxfId="11"/>
    <tableColumn id="87" name="html.versatileblockparas" dataDxfId="10"/>
    <tableColumn id="88" name="html.toplevelheads.type" dataDxfId="9"/>
    <tableColumn id="93" name="html.toplevelheads.label" dataDxfId="8"/>
    <tableColumn id="107" name="html.toplevelheads.tocexclude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28"/>
  <sheetViews>
    <sheetView tabSelected="1" zoomScaleNormal="100" workbookViewId="0">
      <pane xSplit="1" topLeftCell="B1" activePane="topRight" state="frozen"/>
      <selection pane="topRight"/>
    </sheetView>
  </sheetViews>
  <sheetFormatPr defaultColWidth="10.625" defaultRowHeight="15.75"/>
  <cols>
    <col min="1" max="1" width="33.5" style="24" customWidth="1"/>
    <col min="2" max="2" width="28.625" style="7" customWidth="1"/>
    <col min="3" max="3" width="32.5" style="7" customWidth="1"/>
    <col min="4" max="4" width="21.5" style="7" customWidth="1"/>
    <col min="5" max="5" width="32.5" style="7" customWidth="1"/>
    <col min="6" max="6" width="17.625" style="7" customWidth="1"/>
    <col min="7" max="7" width="17.125" style="7" customWidth="1"/>
    <col min="8" max="8" width="10.125" style="7" customWidth="1"/>
    <col min="9" max="9" width="16.125" style="7" customWidth="1"/>
    <col min="10" max="10" width="11.625" style="7" customWidth="1"/>
    <col min="11" max="11" width="12.625" style="7" customWidth="1"/>
    <col min="12" max="12" width="12.5" style="7" customWidth="1"/>
    <col min="13" max="13" width="17.625" style="9" bestFit="1" customWidth="1"/>
    <col min="14" max="14" width="17.125" style="7" customWidth="1"/>
    <col min="15" max="15" width="17.5" style="7" customWidth="1"/>
    <col min="16" max="16" width="18.5" style="7" customWidth="1"/>
    <col min="17" max="17" width="16.625" style="7" customWidth="1"/>
    <col min="18" max="18" width="21" style="7" customWidth="1"/>
    <col min="19" max="19" width="27.125" style="7" customWidth="1"/>
    <col min="20" max="20" width="25" style="7" customWidth="1"/>
    <col min="21" max="21" width="27.5" style="7" customWidth="1"/>
    <col min="22" max="22" width="23.125" style="7" customWidth="1"/>
    <col min="23" max="23" width="23.5" style="19" customWidth="1"/>
    <col min="24" max="24" width="41.125" style="7" customWidth="1"/>
    <col min="25" max="25" width="9" style="7" customWidth="1"/>
    <col min="26" max="26" width="11.625" style="7" customWidth="1"/>
    <col min="27" max="27" width="29.125" style="7" customWidth="1"/>
    <col min="28" max="28" width="30.625" style="7" customWidth="1"/>
    <col min="29" max="29" width="31.125" style="7" customWidth="1"/>
    <col min="30" max="30" width="29.625" style="7" customWidth="1"/>
    <col min="31" max="31" width="34.625" style="7" customWidth="1"/>
    <col min="32" max="32" width="30.625" style="7" customWidth="1"/>
    <col min="33" max="33" width="29.125" style="7" customWidth="1"/>
    <col min="34" max="34" width="33.5" style="7" customWidth="1"/>
    <col min="35" max="35" width="31.125" style="7" customWidth="1"/>
    <col min="36" max="36" width="35.5" style="7" customWidth="1"/>
    <col min="37" max="37" width="33.125" style="7" customWidth="1"/>
    <col min="38" max="38" width="15.5" style="7" customWidth="1"/>
    <col min="39" max="39" width="19.125" style="9" customWidth="1"/>
    <col min="40" max="40" width="22.5" style="7" customWidth="1"/>
    <col min="41" max="41" width="23.625" style="7" customWidth="1"/>
    <col min="42" max="42" width="13.625" style="7" customWidth="1"/>
    <col min="43" max="43" width="20" style="9" customWidth="1"/>
    <col min="44" max="44" width="22.5" style="7" customWidth="1"/>
    <col min="45" max="45" width="23.625" style="7" customWidth="1"/>
    <col min="46" max="46" width="13.625" style="7" customWidth="1"/>
    <col min="47" max="47" width="19.125" style="9" customWidth="1"/>
    <col min="48" max="48" width="22.5" style="7" customWidth="1"/>
    <col min="49" max="49" width="23.625" style="7" customWidth="1"/>
    <col min="50" max="50" width="13.625" style="7" customWidth="1"/>
    <col min="51" max="51" width="19.125" style="9" customWidth="1"/>
    <col min="52" max="52" width="22.5" style="7" customWidth="1"/>
    <col min="53" max="53" width="23.625" style="7" customWidth="1"/>
    <col min="54" max="54" width="27.125" style="7" customWidth="1"/>
    <col min="55" max="55" width="28.5" style="7" customWidth="1"/>
    <col min="56" max="56" width="27.125" style="7" customWidth="1"/>
    <col min="57" max="57" width="30.5" style="7" customWidth="1"/>
    <col min="58" max="58" width="49.625" style="9" customWidth="1"/>
    <col min="59" max="59" width="27.125" style="9" customWidth="1"/>
    <col min="60" max="60" width="26.5" style="7" customWidth="1"/>
    <col min="61" max="61" width="27.625" style="7" customWidth="1"/>
    <col min="62" max="62" width="38.125" style="9" customWidth="1"/>
    <col min="63" max="63" width="20.125" style="7" customWidth="1"/>
    <col min="64" max="64" width="18.625" style="7" customWidth="1"/>
    <col min="65" max="65" width="14" style="7" customWidth="1"/>
    <col min="66" max="66" width="16.5" style="7" customWidth="1"/>
    <col min="67" max="67" width="27.125" style="7" customWidth="1"/>
    <col min="68" max="68" width="27" style="7" customWidth="1"/>
    <col min="69" max="69" width="27.625" style="7" customWidth="1"/>
    <col min="70" max="70" width="19.625" style="7" customWidth="1"/>
    <col min="71" max="71" width="17.625" style="7" customWidth="1"/>
    <col min="72" max="72" width="20.625" style="7" customWidth="1"/>
    <col min="73" max="73" width="19.625" style="7" customWidth="1"/>
    <col min="74" max="74" width="21.5" style="7" customWidth="1"/>
    <col min="75" max="75" width="19.125" style="7" customWidth="1"/>
    <col min="76" max="76" width="24.625" style="7" customWidth="1"/>
    <col min="77" max="77" width="26.625" style="7" customWidth="1"/>
    <col min="78" max="78" width="23.125" style="7" customWidth="1"/>
    <col min="79" max="79" width="20.625" style="7" customWidth="1"/>
    <col min="80" max="80" width="20.125" style="7" customWidth="1"/>
    <col min="81" max="81" width="25.625" style="7" customWidth="1"/>
    <col min="82" max="82" width="30.125" style="7" customWidth="1"/>
    <col min="83" max="83" width="23.125" style="7" customWidth="1"/>
    <col min="84" max="84" width="28.625" style="7" customWidth="1"/>
    <col min="85" max="85" width="26.5" style="7" customWidth="1"/>
    <col min="86" max="86" width="28.125" style="7" customWidth="1"/>
    <col min="87" max="87" width="26.5" style="7" customWidth="1"/>
    <col min="88" max="88" width="24.875" style="7" customWidth="1"/>
    <col min="89" max="89" width="22.875" style="7" customWidth="1"/>
    <col min="90" max="90" width="26.125" style="7" customWidth="1"/>
    <col min="91" max="91" width="17.625" style="7" customWidth="1"/>
    <col min="92" max="92" width="26" style="7" customWidth="1"/>
    <col min="93" max="93" width="25.125" style="7" customWidth="1"/>
    <col min="94" max="95" width="25.625" style="7" customWidth="1"/>
    <col min="96" max="96" width="26.125" style="7" customWidth="1"/>
    <col min="97" max="97" width="34.125" style="7" customWidth="1"/>
    <col min="98" max="98" width="21.125" style="7" customWidth="1"/>
    <col min="99" max="101" width="22.625" style="7" customWidth="1"/>
    <col min="102" max="102" width="17" style="7" customWidth="1"/>
    <col min="103" max="16384" width="10.625" style="7"/>
  </cols>
  <sheetData>
    <row r="1" spans="1:102" s="3" customFormat="1" ht="27" customHeight="1">
      <c r="A1" s="10" t="s">
        <v>84</v>
      </c>
      <c r="B1" s="63" t="s">
        <v>77</v>
      </c>
      <c r="C1" s="64"/>
      <c r="D1" s="65"/>
      <c r="E1" s="66" t="s">
        <v>78</v>
      </c>
      <c r="F1" s="66"/>
      <c r="G1" s="66"/>
      <c r="H1" s="66"/>
      <c r="I1" s="67" t="s">
        <v>79</v>
      </c>
      <c r="J1" s="68"/>
      <c r="K1" s="68"/>
      <c r="L1" s="68"/>
      <c r="M1" s="68"/>
      <c r="N1" s="68"/>
      <c r="O1" s="68"/>
      <c r="P1" s="68"/>
      <c r="Q1" s="68"/>
      <c r="R1" s="69"/>
      <c r="S1" s="70" t="s">
        <v>80</v>
      </c>
      <c r="T1" s="70"/>
      <c r="U1" s="70"/>
      <c r="V1" s="70"/>
      <c r="W1" s="70"/>
      <c r="X1" s="73" t="s">
        <v>81</v>
      </c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5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81" t="s">
        <v>83</v>
      </c>
      <c r="BH1" s="82"/>
      <c r="BI1" s="82"/>
      <c r="BJ1" s="83"/>
      <c r="BK1" s="84" t="s">
        <v>89</v>
      </c>
      <c r="BL1" s="85"/>
      <c r="BM1" s="85"/>
      <c r="BN1" s="63" t="s">
        <v>294</v>
      </c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80"/>
      <c r="CU1" s="76" t="s">
        <v>323</v>
      </c>
      <c r="CV1" s="77"/>
      <c r="CW1" s="77"/>
      <c r="CX1" s="78"/>
    </row>
    <row r="2" spans="1:102" s="4" customFormat="1" ht="94.5">
      <c r="A2" s="21" t="s">
        <v>207</v>
      </c>
      <c r="B2" s="20" t="s">
        <v>209</v>
      </c>
      <c r="C2" s="61" t="s">
        <v>335</v>
      </c>
      <c r="D2" s="62"/>
      <c r="E2" s="15" t="s">
        <v>95</v>
      </c>
      <c r="F2" s="21" t="s">
        <v>211</v>
      </c>
      <c r="G2" s="21" t="s">
        <v>210</v>
      </c>
      <c r="H2" s="15" t="s">
        <v>428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1" t="s">
        <v>200</v>
      </c>
      <c r="T2" s="71"/>
      <c r="U2" s="71"/>
      <c r="V2" s="71"/>
      <c r="W2" s="72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731</v>
      </c>
      <c r="BY2" s="27" t="s">
        <v>719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734</v>
      </c>
      <c r="CE2" s="27" t="s">
        <v>736</v>
      </c>
      <c r="CF2" s="27" t="s">
        <v>737</v>
      </c>
      <c r="CG2" s="27" t="s">
        <v>738</v>
      </c>
      <c r="CH2" s="27" t="s">
        <v>742</v>
      </c>
      <c r="CI2" s="27" t="s">
        <v>741</v>
      </c>
      <c r="CJ2" s="27" t="s">
        <v>746</v>
      </c>
      <c r="CK2" s="27" t="s">
        <v>334</v>
      </c>
      <c r="CL2" s="27" t="s">
        <v>333</v>
      </c>
      <c r="CM2" s="27" t="s">
        <v>293</v>
      </c>
      <c r="CN2" s="27" t="s">
        <v>295</v>
      </c>
      <c r="CO2" s="27" t="s">
        <v>250</v>
      </c>
      <c r="CP2" s="27" t="s">
        <v>307</v>
      </c>
      <c r="CQ2" s="27" t="s">
        <v>748</v>
      </c>
      <c r="CR2" s="27" t="s">
        <v>267</v>
      </c>
      <c r="CS2" s="27" t="s">
        <v>247</v>
      </c>
      <c r="CT2" s="27" t="s">
        <v>248</v>
      </c>
      <c r="CU2" s="33" t="s">
        <v>324</v>
      </c>
      <c r="CV2" s="35"/>
      <c r="CW2" s="35"/>
      <c r="CX2" s="34" t="s">
        <v>326</v>
      </c>
    </row>
    <row r="3" spans="1:102" s="18" customFormat="1" ht="17.25">
      <c r="A3" s="28" t="s">
        <v>321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299</v>
      </c>
      <c r="BO3" s="28" t="s">
        <v>300</v>
      </c>
      <c r="BP3" s="28" t="s">
        <v>301</v>
      </c>
      <c r="BQ3" s="28" t="s">
        <v>302</v>
      </c>
      <c r="BR3" s="28" t="s">
        <v>303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732</v>
      </c>
      <c r="BX3" s="28" t="s">
        <v>721</v>
      </c>
      <c r="BY3" s="28" t="s">
        <v>718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733</v>
      </c>
      <c r="CE3" s="28" t="s">
        <v>735</v>
      </c>
      <c r="CF3" s="28" t="s">
        <v>739</v>
      </c>
      <c r="CG3" s="28" t="s">
        <v>740</v>
      </c>
      <c r="CH3" s="28" t="s">
        <v>744</v>
      </c>
      <c r="CI3" s="28" t="s">
        <v>743</v>
      </c>
      <c r="CJ3" s="28" t="s">
        <v>745</v>
      </c>
      <c r="CK3" s="28" t="s">
        <v>331</v>
      </c>
      <c r="CL3" s="28" t="s">
        <v>332</v>
      </c>
      <c r="CM3" s="28" t="s">
        <v>283</v>
      </c>
      <c r="CN3" s="28" t="s">
        <v>296</v>
      </c>
      <c r="CO3" s="28" t="s">
        <v>304</v>
      </c>
      <c r="CP3" s="28" t="s">
        <v>306</v>
      </c>
      <c r="CQ3" s="28" t="s">
        <v>747</v>
      </c>
      <c r="CR3" s="28" t="s">
        <v>305</v>
      </c>
      <c r="CS3" s="28" t="s">
        <v>297</v>
      </c>
      <c r="CT3" s="28" t="s">
        <v>298</v>
      </c>
      <c r="CU3" s="32" t="s">
        <v>322</v>
      </c>
      <c r="CV3" s="32" t="s">
        <v>328</v>
      </c>
      <c r="CW3" s="32" t="s">
        <v>327</v>
      </c>
      <c r="CX3" s="32" t="s">
        <v>325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688</v>
      </c>
      <c r="D4" s="6" t="s">
        <v>687</v>
      </c>
      <c r="E4" s="7" t="s">
        <v>430</v>
      </c>
      <c r="F4" s="5">
        <v>8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697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239</v>
      </c>
      <c r="D5" s="6" t="s">
        <v>638</v>
      </c>
      <c r="E5" s="5" t="s">
        <v>668</v>
      </c>
      <c r="F5" s="5">
        <v>8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669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308</v>
      </c>
      <c r="CQ5" s="7" t="b">
        <v>1</v>
      </c>
      <c r="CR5" s="7" t="s">
        <v>268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639</v>
      </c>
      <c r="E6" s="5" t="s">
        <v>668</v>
      </c>
      <c r="F6" s="5">
        <v>8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669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309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640</v>
      </c>
      <c r="E7" s="5" t="s">
        <v>667</v>
      </c>
      <c r="F7" s="5">
        <v>8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669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311</v>
      </c>
      <c r="CQ7" s="7" t="b">
        <v>1</v>
      </c>
      <c r="CR7" s="7" t="s">
        <v>270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240</v>
      </c>
      <c r="D8" s="6" t="s">
        <v>641</v>
      </c>
      <c r="E8" s="5" t="s">
        <v>667</v>
      </c>
      <c r="F8" s="5">
        <v>8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669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310</v>
      </c>
      <c r="CQ8" s="7" t="b">
        <v>1</v>
      </c>
      <c r="CR8" s="7" t="s">
        <v>269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642</v>
      </c>
      <c r="E9" s="5" t="s">
        <v>668</v>
      </c>
      <c r="F9" s="5">
        <v>8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669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312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219</v>
      </c>
      <c r="D10" s="6" t="s">
        <v>643</v>
      </c>
      <c r="E10" s="5" t="s">
        <v>430</v>
      </c>
      <c r="F10" s="5">
        <v>8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669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313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431</v>
      </c>
      <c r="D11" s="6" t="s">
        <v>644</v>
      </c>
      <c r="E11" s="5" t="s">
        <v>430</v>
      </c>
      <c r="F11" s="5">
        <v>8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751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670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313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4.1" customHeight="1">
      <c r="A12" s="38" t="str">
        <f t="shared" si="0"/>
        <v>Section-Dedication (SDE)</v>
      </c>
      <c r="B12" s="5"/>
      <c r="C12" s="5" t="s">
        <v>220</v>
      </c>
      <c r="D12" s="6" t="s">
        <v>645</v>
      </c>
      <c r="E12" s="5" t="s">
        <v>429</v>
      </c>
      <c r="F12" s="5">
        <v>8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669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221</v>
      </c>
      <c r="D13" s="6" t="s">
        <v>646</v>
      </c>
      <c r="E13" s="5" t="s">
        <v>430</v>
      </c>
      <c r="F13" s="5">
        <v>8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669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314</v>
      </c>
      <c r="CQ13" s="7" t="b">
        <v>1</v>
      </c>
      <c r="CR13" s="7" t="s">
        <v>249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222</v>
      </c>
      <c r="D14" s="6" t="s">
        <v>647</v>
      </c>
      <c r="E14" s="5" t="s">
        <v>667</v>
      </c>
      <c r="F14" s="5">
        <v>8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669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315</v>
      </c>
      <c r="CQ14" s="7" t="b">
        <v>1</v>
      </c>
      <c r="CR14" s="7" t="s">
        <v>330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224</v>
      </c>
      <c r="D15" s="6" t="s">
        <v>648</v>
      </c>
      <c r="E15" s="5" t="s">
        <v>667</v>
      </c>
      <c r="F15" s="5">
        <v>8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669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223</v>
      </c>
      <c r="D16" s="6" t="s">
        <v>649</v>
      </c>
      <c r="E16" s="5" t="s">
        <v>667</v>
      </c>
      <c r="F16" s="5">
        <v>8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669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435</v>
      </c>
      <c r="D17" s="6" t="s">
        <v>650</v>
      </c>
      <c r="E17" s="5" t="s">
        <v>667</v>
      </c>
      <c r="F17" s="5">
        <v>8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669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713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637</v>
      </c>
      <c r="D18" s="6" t="s">
        <v>651</v>
      </c>
      <c r="E18" s="5" t="s">
        <v>667</v>
      </c>
      <c r="F18" s="5">
        <v>8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669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225</v>
      </c>
      <c r="D19" s="6" t="s">
        <v>652</v>
      </c>
      <c r="E19" s="5" t="s">
        <v>668</v>
      </c>
      <c r="F19" s="5">
        <v>8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671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226</v>
      </c>
      <c r="D20" s="6" t="s">
        <v>653</v>
      </c>
      <c r="E20" s="5" t="s">
        <v>668</v>
      </c>
      <c r="F20" s="5">
        <v>8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672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432</v>
      </c>
      <c r="D21" s="6" t="s">
        <v>654</v>
      </c>
      <c r="E21" s="5" t="s">
        <v>668</v>
      </c>
      <c r="F21" s="5">
        <v>8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672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P21" s="7" t="s">
        <v>714</v>
      </c>
      <c r="CQ21" s="7" t="b">
        <v>1</v>
      </c>
      <c r="CR21" s="7" t="s">
        <v>717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433</v>
      </c>
      <c r="D22" s="6" t="s">
        <v>655</v>
      </c>
      <c r="E22" s="5" t="s">
        <v>668</v>
      </c>
      <c r="F22" s="5">
        <v>8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241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672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258</v>
      </c>
      <c r="CP22" s="7" t="s">
        <v>715</v>
      </c>
      <c r="CR22" s="7" t="s">
        <v>716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229</v>
      </c>
      <c r="D23" s="6" t="s">
        <v>656</v>
      </c>
      <c r="E23" s="5" t="s">
        <v>667</v>
      </c>
      <c r="F23" s="5">
        <v>8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672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260</v>
      </c>
      <c r="CP23" s="7" t="s">
        <v>316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228</v>
      </c>
      <c r="D24" s="6" t="s">
        <v>657</v>
      </c>
      <c r="E24" s="5" t="s">
        <v>667</v>
      </c>
      <c r="F24" s="5">
        <v>8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751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262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230</v>
      </c>
      <c r="D25" s="6" t="s">
        <v>658</v>
      </c>
      <c r="E25" s="5" t="s">
        <v>667</v>
      </c>
      <c r="F25" s="5">
        <v>8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751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263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227</v>
      </c>
      <c r="D26" s="6" t="s">
        <v>659</v>
      </c>
      <c r="E26" s="5" t="s">
        <v>667</v>
      </c>
      <c r="F26" s="5">
        <v>8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751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261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231</v>
      </c>
      <c r="D27" s="6" t="s">
        <v>680</v>
      </c>
      <c r="E27" s="5" t="s">
        <v>667</v>
      </c>
      <c r="F27" s="5">
        <v>8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751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264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235</v>
      </c>
      <c r="D28" s="6" t="s">
        <v>660</v>
      </c>
      <c r="E28" s="5" t="s">
        <v>668</v>
      </c>
      <c r="F28" s="5">
        <v>8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751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261</v>
      </c>
      <c r="CP28" s="7" t="s">
        <v>318</v>
      </c>
      <c r="CQ28" s="7" t="b">
        <v>1</v>
      </c>
      <c r="CR28" s="7" t="s">
        <v>273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234</v>
      </c>
      <c r="D29" s="6" t="s">
        <v>661</v>
      </c>
      <c r="E29" s="5" t="s">
        <v>667</v>
      </c>
      <c r="F29" s="5">
        <v>8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751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R29" s="7" t="s">
        <v>272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233</v>
      </c>
      <c r="D30" s="6" t="s">
        <v>662</v>
      </c>
      <c r="E30" s="5" t="s">
        <v>667</v>
      </c>
      <c r="F30" s="5">
        <v>8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751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265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232</v>
      </c>
      <c r="D31" s="6" t="s">
        <v>663</v>
      </c>
      <c r="E31" s="5" t="s">
        <v>667</v>
      </c>
      <c r="F31" s="5">
        <v>8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751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261</v>
      </c>
      <c r="CP31" s="7" t="s">
        <v>248</v>
      </c>
      <c r="CR31" s="7" t="s">
        <v>271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236</v>
      </c>
      <c r="D32" s="6" t="s">
        <v>664</v>
      </c>
      <c r="E32" s="5" t="s">
        <v>667</v>
      </c>
      <c r="F32" s="5">
        <v>8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751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670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319</v>
      </c>
      <c r="CR32" s="7" t="s">
        <v>274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237</v>
      </c>
      <c r="D33" s="6" t="s">
        <v>665</v>
      </c>
      <c r="E33" s="5" t="s">
        <v>668</v>
      </c>
      <c r="F33" s="5">
        <v>8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751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320</v>
      </c>
      <c r="CQ33" s="7" t="b">
        <v>1</v>
      </c>
      <c r="CR33" s="7" t="s">
        <v>329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238</v>
      </c>
      <c r="D34" s="6" t="s">
        <v>655</v>
      </c>
      <c r="E34" s="5" t="s">
        <v>667</v>
      </c>
      <c r="F34" s="5">
        <v>8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751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266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434</v>
      </c>
      <c r="D35" s="6" t="s">
        <v>666</v>
      </c>
      <c r="E35" s="5" t="s">
        <v>667</v>
      </c>
      <c r="F35" s="5">
        <v>8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751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261</v>
      </c>
      <c r="CP35" s="7" t="s">
        <v>712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336</v>
      </c>
      <c r="D36" s="6" t="s">
        <v>337</v>
      </c>
      <c r="E36" s="5" t="s">
        <v>668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672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338</v>
      </c>
      <c r="D37" s="7" t="s">
        <v>587</v>
      </c>
      <c r="E37" s="7" t="s">
        <v>430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672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339</v>
      </c>
      <c r="D38" s="7" t="s">
        <v>632</v>
      </c>
      <c r="E38" s="7" t="s">
        <v>430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672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340</v>
      </c>
      <c r="D39" s="7" t="s">
        <v>588</v>
      </c>
      <c r="E39" s="7" t="s">
        <v>430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672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436</v>
      </c>
      <c r="D40" s="7" t="s">
        <v>438</v>
      </c>
      <c r="E40" s="7" t="s">
        <v>430</v>
      </c>
      <c r="F40" s="5">
        <v>1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672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437</v>
      </c>
      <c r="D41" s="7" t="s">
        <v>439</v>
      </c>
      <c r="E41" s="7" t="s">
        <v>430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672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567</v>
      </c>
      <c r="D42" s="7" t="s">
        <v>568</v>
      </c>
      <c r="E42" s="7" t="s">
        <v>430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672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342</v>
      </c>
      <c r="D43" s="7" t="s">
        <v>589</v>
      </c>
      <c r="E43" s="7" t="s">
        <v>430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672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343</v>
      </c>
      <c r="D44" s="7" t="s">
        <v>590</v>
      </c>
      <c r="E44" s="7" t="s">
        <v>430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672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344</v>
      </c>
      <c r="D45" s="7" t="s">
        <v>591</v>
      </c>
      <c r="E45" s="7" t="s">
        <v>430</v>
      </c>
      <c r="F45" s="5">
        <v>1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672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345</v>
      </c>
      <c r="D46" s="7" t="s">
        <v>592</v>
      </c>
      <c r="E46" s="7" t="s">
        <v>430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672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346</v>
      </c>
      <c r="D47" s="7" t="s">
        <v>593</v>
      </c>
      <c r="E47" s="7" t="s">
        <v>430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672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347</v>
      </c>
      <c r="D48" s="7" t="s">
        <v>594</v>
      </c>
      <c r="E48" s="7" t="s">
        <v>430</v>
      </c>
      <c r="F48" s="5">
        <v>1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672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348</v>
      </c>
      <c r="D49" s="7" t="s">
        <v>349</v>
      </c>
      <c r="E49" s="7" t="s">
        <v>430</v>
      </c>
      <c r="F49" s="5">
        <v>1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672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350</v>
      </c>
      <c r="D50" s="7" t="s">
        <v>351</v>
      </c>
      <c r="E50" s="7" t="s">
        <v>430</v>
      </c>
      <c r="F50" s="5">
        <v>1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672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440</v>
      </c>
      <c r="D51" s="7" t="s">
        <v>444</v>
      </c>
      <c r="E51" s="7" t="s">
        <v>456</v>
      </c>
      <c r="F51" s="5">
        <v>1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672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441</v>
      </c>
      <c r="D52" s="7" t="s">
        <v>445</v>
      </c>
      <c r="E52" s="7" t="s">
        <v>456</v>
      </c>
      <c r="F52" s="5">
        <v>1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672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442</v>
      </c>
      <c r="D53" s="7" t="s">
        <v>446</v>
      </c>
      <c r="E53" s="7" t="s">
        <v>456</v>
      </c>
      <c r="F53" s="5">
        <v>1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672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443</v>
      </c>
      <c r="D54" s="7" t="s">
        <v>447</v>
      </c>
      <c r="E54" s="7" t="s">
        <v>456</v>
      </c>
      <c r="F54" s="5">
        <v>1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672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448</v>
      </c>
      <c r="D55" s="7" t="s">
        <v>449</v>
      </c>
      <c r="E55" s="7" t="s">
        <v>457</v>
      </c>
      <c r="F55" s="5">
        <v>1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672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450</v>
      </c>
      <c r="D56" s="7" t="s">
        <v>453</v>
      </c>
      <c r="E56" s="7" t="s">
        <v>457</v>
      </c>
      <c r="F56" s="5">
        <v>1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672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451</v>
      </c>
      <c r="D57" s="7" t="s">
        <v>454</v>
      </c>
      <c r="E57" s="7" t="s">
        <v>457</v>
      </c>
      <c r="F57" s="5">
        <v>1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672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452</v>
      </c>
      <c r="D58" s="7" t="s">
        <v>455</v>
      </c>
      <c r="E58" s="7" t="s">
        <v>457</v>
      </c>
      <c r="F58" s="5">
        <v>1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672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352</v>
      </c>
      <c r="D59" s="7" t="s">
        <v>571</v>
      </c>
      <c r="E59" s="7" t="s">
        <v>572</v>
      </c>
      <c r="F59" s="5">
        <v>1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672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458</v>
      </c>
      <c r="D60" s="7" t="s">
        <v>459</v>
      </c>
      <c r="E60" s="7" t="s">
        <v>462</v>
      </c>
      <c r="F60" s="5">
        <v>1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672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460</v>
      </c>
      <c r="D61" s="7" t="s">
        <v>461</v>
      </c>
      <c r="E61" s="7" t="s">
        <v>463</v>
      </c>
      <c r="F61" s="5">
        <v>1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672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353</v>
      </c>
      <c r="D62" s="7" t="s">
        <v>354</v>
      </c>
      <c r="E62" s="7" t="s">
        <v>430</v>
      </c>
      <c r="F62" s="5">
        <v>1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672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464</v>
      </c>
      <c r="D63" s="7" t="s">
        <v>465</v>
      </c>
      <c r="E63" s="7" t="s">
        <v>466</v>
      </c>
      <c r="F63" s="5">
        <v>1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672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467</v>
      </c>
      <c r="D64" s="7" t="s">
        <v>468</v>
      </c>
      <c r="E64" s="7" t="s">
        <v>469</v>
      </c>
      <c r="F64" s="5">
        <v>1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672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470</v>
      </c>
      <c r="D65" s="7" t="s">
        <v>703</v>
      </c>
      <c r="E65" s="7" t="s">
        <v>430</v>
      </c>
      <c r="F65" s="5">
        <v>1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672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341</v>
      </c>
      <c r="D66" s="7" t="s">
        <v>595</v>
      </c>
      <c r="E66" s="7" t="s">
        <v>430</v>
      </c>
      <c r="F66" s="5">
        <v>1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672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355</v>
      </c>
      <c r="D67" s="7" t="s">
        <v>356</v>
      </c>
      <c r="E67" s="7" t="s">
        <v>586</v>
      </c>
      <c r="F67" s="5">
        <v>1</v>
      </c>
      <c r="G67" s="7" t="b">
        <v>0</v>
      </c>
      <c r="H67" s="5">
        <v>1</v>
      </c>
      <c r="I67" s="5" t="s">
        <v>67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672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357</v>
      </c>
      <c r="E68" s="38" t="str">
        <f t="shared" ref="E68:E118" si="11">IF($D68="","",TRIM($C68)&amp;" "&amp;CHAR(40)&amp;TRIM($D68)&amp;CHAR(41))</f>
        <v>Address (Add)</v>
      </c>
      <c r="F68" s="5">
        <v>1</v>
      </c>
      <c r="G68" s="7" t="b">
        <v>0</v>
      </c>
      <c r="H68" s="5">
        <v>1</v>
      </c>
      <c r="I68" s="5" t="s">
        <v>67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672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358</v>
      </c>
      <c r="D69" s="7" t="s">
        <v>359</v>
      </c>
      <c r="E69" s="38" t="str">
        <f t="shared" si="11"/>
        <v>Location (Loc)</v>
      </c>
      <c r="F69" s="5">
        <v>1</v>
      </c>
      <c r="G69" s="7" t="b">
        <v>0</v>
      </c>
      <c r="H69" s="5">
        <v>1</v>
      </c>
      <c r="I69" s="5" t="s">
        <v>67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672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360</v>
      </c>
      <c r="D70" s="7" t="s">
        <v>361</v>
      </c>
      <c r="E70" s="38" t="str">
        <f t="shared" si="11"/>
        <v>Signature (Sig)</v>
      </c>
      <c r="F70" s="5">
        <v>1</v>
      </c>
      <c r="G70" s="7" t="b">
        <v>0</v>
      </c>
      <c r="H70" s="5">
        <v>1</v>
      </c>
      <c r="I70" s="5" t="s">
        <v>67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672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362</v>
      </c>
      <c r="D71" s="7" t="s">
        <v>363</v>
      </c>
      <c r="E71" s="38" t="str">
        <f t="shared" si="11"/>
        <v>Salutation (Sal)</v>
      </c>
      <c r="F71" s="5">
        <v>1</v>
      </c>
      <c r="G71" s="7" t="b">
        <v>0</v>
      </c>
      <c r="H71" s="5">
        <v>1</v>
      </c>
      <c r="I71" s="5" t="s">
        <v>67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672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364</v>
      </c>
      <c r="D72" s="7" t="s">
        <v>596</v>
      </c>
      <c r="E72" s="38" t="str">
        <f t="shared" si="11"/>
        <v>Closing (Clos)</v>
      </c>
      <c r="F72" s="5">
        <v>1</v>
      </c>
      <c r="G72" s="7" t="b">
        <v>0</v>
      </c>
      <c r="H72" s="5">
        <v>1</v>
      </c>
      <c r="I72" s="5" t="s">
        <v>67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672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365</v>
      </c>
      <c r="D73" s="7" t="s">
        <v>366</v>
      </c>
      <c r="E73" s="38" t="str">
        <f t="shared" si="11"/>
        <v>Postscript (Pst)</v>
      </c>
      <c r="F73" s="5">
        <v>1</v>
      </c>
      <c r="G73" s="7" t="b">
        <v>0</v>
      </c>
      <c r="H73" s="5">
        <v>1</v>
      </c>
      <c r="I73" s="5" t="s">
        <v>67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672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367</v>
      </c>
      <c r="E74" s="38" t="str">
        <f t="shared" si="11"/>
        <v>Dedication (Ded)</v>
      </c>
      <c r="F74" s="5">
        <v>1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672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368</v>
      </c>
      <c r="D75" s="7" t="s">
        <v>369</v>
      </c>
      <c r="E75" s="38" t="str">
        <f t="shared" si="11"/>
        <v>Text-Message (Tmg)</v>
      </c>
      <c r="F75" s="5">
        <v>1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672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471</v>
      </c>
      <c r="D76" s="7" t="s">
        <v>472</v>
      </c>
      <c r="E76" s="38" t="s">
        <v>473</v>
      </c>
      <c r="F76" s="5">
        <v>1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672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562</v>
      </c>
      <c r="D77" s="7" t="s">
        <v>565</v>
      </c>
      <c r="E77" s="38" t="s">
        <v>569</v>
      </c>
      <c r="F77" s="5">
        <v>1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672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563</v>
      </c>
      <c r="D78" s="7" t="s">
        <v>564</v>
      </c>
      <c r="E78" s="38" t="s">
        <v>570</v>
      </c>
      <c r="F78" s="5">
        <v>1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672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474</v>
      </c>
      <c r="D79" s="7" t="s">
        <v>475</v>
      </c>
      <c r="E79" s="38" t="s">
        <v>476</v>
      </c>
      <c r="F79" s="5">
        <v>1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672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477</v>
      </c>
      <c r="D80" s="7" t="s">
        <v>478</v>
      </c>
      <c r="E80" s="38" t="s">
        <v>479</v>
      </c>
      <c r="F80" s="5">
        <v>1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672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480</v>
      </c>
      <c r="D81" s="7" t="s">
        <v>481</v>
      </c>
      <c r="E81" s="38" t="s">
        <v>482</v>
      </c>
      <c r="F81" s="5">
        <v>1</v>
      </c>
      <c r="G81" s="7" t="b">
        <v>0</v>
      </c>
      <c r="H81" s="5">
        <v>1</v>
      </c>
      <c r="I81" s="5" t="s">
        <v>1</v>
      </c>
      <c r="J81" s="5">
        <v>11</v>
      </c>
      <c r="K81" s="7" t="b">
        <v>0</v>
      </c>
      <c r="L81" s="5" t="b">
        <v>1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672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483</v>
      </c>
      <c r="D82" s="7" t="s">
        <v>484</v>
      </c>
      <c r="E82" s="38" t="s">
        <v>482</v>
      </c>
      <c r="F82" s="5">
        <v>1</v>
      </c>
      <c r="G82" s="7" t="b">
        <v>0</v>
      </c>
      <c r="H82" s="5">
        <v>1</v>
      </c>
      <c r="I82" s="5" t="s">
        <v>1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672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485</v>
      </c>
      <c r="D83" s="7" t="s">
        <v>486</v>
      </c>
      <c r="E83" s="38" t="s">
        <v>482</v>
      </c>
      <c r="F83" s="5">
        <v>1</v>
      </c>
      <c r="G83" s="7" t="b">
        <v>0</v>
      </c>
      <c r="H83" s="5">
        <v>1</v>
      </c>
      <c r="I83" s="5" t="s">
        <v>1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672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487</v>
      </c>
      <c r="D84" s="7" t="s">
        <v>597</v>
      </c>
      <c r="E84" s="7" t="s">
        <v>430</v>
      </c>
      <c r="F84" s="5">
        <v>1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672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488</v>
      </c>
      <c r="D85" s="7" t="s">
        <v>488</v>
      </c>
      <c r="E85" s="7" t="s">
        <v>430</v>
      </c>
      <c r="F85" s="5">
        <v>1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672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370</v>
      </c>
      <c r="D86" s="7" t="s">
        <v>598</v>
      </c>
      <c r="E86" s="38" t="str">
        <f t="shared" si="11"/>
        <v>Bullet-Level-1-List (Bl1)</v>
      </c>
      <c r="F86" s="5">
        <v>1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672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489</v>
      </c>
      <c r="D87" s="7" t="s">
        <v>599</v>
      </c>
      <c r="E87" s="38" t="str">
        <f t="shared" si="11"/>
        <v>Bullet-Level-1-List-Paragraph (Bl1p)</v>
      </c>
      <c r="F87" s="5">
        <v>1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672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371</v>
      </c>
      <c r="D88" s="7" t="s">
        <v>600</v>
      </c>
      <c r="E88" s="38" t="str">
        <f t="shared" si="11"/>
        <v>Bullet-Level-2-List (Bl2)</v>
      </c>
      <c r="F88" s="5">
        <v>1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672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490</v>
      </c>
      <c r="D89" s="7" t="s">
        <v>601</v>
      </c>
      <c r="E89" s="38" t="str">
        <f t="shared" si="11"/>
        <v>Bullet-Level-2-List-Paragraph (Bl2p)</v>
      </c>
      <c r="F89" s="5">
        <v>1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672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372</v>
      </c>
      <c r="D90" s="7" t="s">
        <v>602</v>
      </c>
      <c r="E90" s="38" t="str">
        <f t="shared" si="11"/>
        <v>Bullet-Level-3-List (Bl3)</v>
      </c>
      <c r="F90" s="5">
        <v>1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672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491</v>
      </c>
      <c r="D91" s="7" t="s">
        <v>603</v>
      </c>
      <c r="E91" s="38" t="str">
        <f t="shared" si="11"/>
        <v>Bullet-Level-3-List-Paragraph (Bl3p)</v>
      </c>
      <c r="F91" s="5">
        <v>1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672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373</v>
      </c>
      <c r="D92" s="7" t="s">
        <v>604</v>
      </c>
      <c r="E92" s="38" t="str">
        <f t="shared" si="11"/>
        <v>Num-Level-1-List (Nl1)</v>
      </c>
      <c r="F92" s="5">
        <v>1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672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492</v>
      </c>
      <c r="D93" s="7" t="s">
        <v>605</v>
      </c>
      <c r="E93" s="38" t="str">
        <f t="shared" si="11"/>
        <v>Num-Level-1-List-Paragraph (Nl1p)</v>
      </c>
      <c r="F93" s="5">
        <v>1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672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374</v>
      </c>
      <c r="D94" s="7" t="s">
        <v>606</v>
      </c>
      <c r="E94" s="38" t="str">
        <f t="shared" si="11"/>
        <v>Num-Level-2-List (Nl2)</v>
      </c>
      <c r="F94" s="5">
        <v>1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672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493</v>
      </c>
      <c r="D95" s="7" t="s">
        <v>607</v>
      </c>
      <c r="E95" s="38" t="str">
        <f t="shared" si="11"/>
        <v>Num-Level-2-List-Paragraph (Nl2p)</v>
      </c>
      <c r="F95" s="5">
        <v>1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672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375</v>
      </c>
      <c r="D96" s="7" t="s">
        <v>608</v>
      </c>
      <c r="E96" s="38" t="str">
        <f t="shared" si="11"/>
        <v>Num-Level-3-List (Nl3)</v>
      </c>
      <c r="F96" s="5">
        <v>1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672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709</v>
      </c>
      <c r="D97" s="7" t="s">
        <v>609</v>
      </c>
      <c r="E97" s="38" t="str">
        <f t="shared" si="11"/>
        <v>Num-Level-3-List-Paragraph (Nl3p)</v>
      </c>
      <c r="F97" s="5">
        <v>1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672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376</v>
      </c>
      <c r="D98" s="7" t="s">
        <v>610</v>
      </c>
      <c r="E98" s="38" t="str">
        <f t="shared" si="11"/>
        <v>Unnum-Level-1-List (Ul1)</v>
      </c>
      <c r="F98" s="5">
        <v>1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672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494</v>
      </c>
      <c r="D99" s="7" t="s">
        <v>611</v>
      </c>
      <c r="E99" s="38" t="str">
        <f t="shared" si="11"/>
        <v>Unnum-Level-1-List-Paragraph (Ul1p)</v>
      </c>
      <c r="F99" s="5">
        <v>1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672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377</v>
      </c>
      <c r="D100" s="7" t="s">
        <v>612</v>
      </c>
      <c r="E100" s="38" t="str">
        <f t="shared" si="11"/>
        <v>Unnum-Level-2-List (Ul2)</v>
      </c>
      <c r="F100" s="5">
        <v>1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672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495</v>
      </c>
      <c r="D101" s="7" t="s">
        <v>613</v>
      </c>
      <c r="E101" s="38" t="str">
        <f t="shared" si="11"/>
        <v>Unnum-Level-2-List-Paragraph (Ul2p)</v>
      </c>
      <c r="F101" s="5">
        <v>1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672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1" si="23">IF($D102="","",TRIM($C102)&amp;" "&amp;CHAR(40)&amp;TRIM($D102)&amp;CHAR(41))</f>
        <v>Unnum-Level-3-List (Ul3)</v>
      </c>
      <c r="C102" s="7" t="s">
        <v>378</v>
      </c>
      <c r="D102" s="7" t="s">
        <v>614</v>
      </c>
      <c r="E102" s="38" t="str">
        <f t="shared" si="11"/>
        <v>Unnum-Level-3-List (Ul3)</v>
      </c>
      <c r="F102" s="5">
        <v>1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672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496</v>
      </c>
      <c r="D103" s="7" t="s">
        <v>615</v>
      </c>
      <c r="E103" s="38" t="str">
        <f t="shared" si="11"/>
        <v>Unnum-Level-3-List-Paragraph (Ul3p)</v>
      </c>
      <c r="F103" s="5">
        <v>1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672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710</v>
      </c>
      <c r="D104" s="7" t="s">
        <v>616</v>
      </c>
      <c r="E104" s="38" t="str">
        <f t="shared" si="11"/>
        <v>Alpha-Level-1-List (Al1)</v>
      </c>
      <c r="F104" s="5">
        <v>1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672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704</v>
      </c>
      <c r="D105" s="7" t="s">
        <v>617</v>
      </c>
      <c r="E105" s="38" t="str">
        <f t="shared" si="11"/>
        <v>Alpha-Level-1-List-Paragraph (Al1p)</v>
      </c>
      <c r="F105" s="5">
        <v>1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672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705</v>
      </c>
      <c r="D106" s="7" t="s">
        <v>618</v>
      </c>
      <c r="E106" s="38" t="str">
        <f t="shared" si="11"/>
        <v>Alpha-Level-2-List (Al2)</v>
      </c>
      <c r="F106" s="5">
        <v>1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672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706</v>
      </c>
      <c r="D107" s="7" t="s">
        <v>619</v>
      </c>
      <c r="E107" s="38" t="str">
        <f t="shared" si="11"/>
        <v>Alpha-Level-2-List-Paragraph (Al2p)</v>
      </c>
      <c r="F107" s="5">
        <v>1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672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707</v>
      </c>
      <c r="D108" s="7" t="s">
        <v>620</v>
      </c>
      <c r="E108" s="38" t="str">
        <f t="shared" si="11"/>
        <v>Alpha-Level-3-List (Al3)</v>
      </c>
      <c r="F108" s="5">
        <v>1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672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708</v>
      </c>
      <c r="D109" s="7" t="s">
        <v>621</v>
      </c>
      <c r="E109" s="38" t="str">
        <f t="shared" si="11"/>
        <v>Alpha-Level-3-List-Paragraph (Al3p)</v>
      </c>
      <c r="F109" s="5">
        <v>1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672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379</v>
      </c>
      <c r="D110" s="7" t="s">
        <v>380</v>
      </c>
      <c r="E110" s="38" t="str">
        <f t="shared" si="11"/>
        <v>Bulleted-Paragraph (Bp)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672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381</v>
      </c>
      <c r="D111" s="7" t="s">
        <v>382</v>
      </c>
      <c r="E111" s="38" t="str">
        <f t="shared" si="11"/>
        <v>Numbered-Paragraph (Np)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672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497</v>
      </c>
      <c r="D112" s="7" t="s">
        <v>622</v>
      </c>
      <c r="E112" s="7" t="s">
        <v>430</v>
      </c>
      <c r="F112" s="5">
        <v>1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672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498</v>
      </c>
      <c r="D113" s="7" t="s">
        <v>499</v>
      </c>
      <c r="E113" s="38" t="str">
        <f t="shared" si="11"/>
        <v>Generic-Footnote (Ftnt)</v>
      </c>
      <c r="F113" s="5">
        <v>1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672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383</v>
      </c>
      <c r="D114" s="7" t="s">
        <v>623</v>
      </c>
      <c r="E114" s="38" t="str">
        <f t="shared" si="11"/>
        <v>Reference-Entry (Ref)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672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384</v>
      </c>
      <c r="D115" s="7" t="s">
        <v>624</v>
      </c>
      <c r="E115" s="7" t="s">
        <v>430</v>
      </c>
      <c r="F115" s="5">
        <v>1</v>
      </c>
      <c r="G115" s="7" t="b">
        <v>0</v>
      </c>
      <c r="H115" s="5">
        <v>1</v>
      </c>
      <c r="I115" s="5" t="s">
        <v>67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672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500</v>
      </c>
      <c r="D116" s="7" t="s">
        <v>633</v>
      </c>
      <c r="E116" s="38" t="str">
        <f t="shared" si="11"/>
        <v>Index-Entry (Idx1)</v>
      </c>
      <c r="F116" s="5">
        <v>1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8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501</v>
      </c>
      <c r="D117" s="7" t="s">
        <v>634</v>
      </c>
      <c r="E117" s="38" t="str">
        <f t="shared" si="11"/>
        <v>Index-Sub-Entry (Idx2)</v>
      </c>
      <c r="F117" s="5">
        <v>1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8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502</v>
      </c>
      <c r="D118" s="7" t="s">
        <v>635</v>
      </c>
      <c r="E118" s="38" t="str">
        <f t="shared" si="11"/>
        <v>Index-Sub-Sub-Entry (Idx3)</v>
      </c>
      <c r="F118" s="5">
        <v>1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8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503</v>
      </c>
      <c r="D119" s="7" t="s">
        <v>504</v>
      </c>
      <c r="E119" s="7" t="s">
        <v>430</v>
      </c>
      <c r="F119" s="5">
        <v>1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9" t="s">
        <v>669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505</v>
      </c>
      <c r="D120" s="7" t="s">
        <v>506</v>
      </c>
      <c r="E120" s="7" t="s">
        <v>430</v>
      </c>
      <c r="F120" s="5">
        <v>1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9" t="s">
        <v>669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385</v>
      </c>
      <c r="D121" s="7" t="s">
        <v>625</v>
      </c>
      <c r="E121" s="7" t="s">
        <v>430</v>
      </c>
      <c r="F121" s="5">
        <v>1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386</v>
      </c>
      <c r="D122" s="7" t="s">
        <v>626</v>
      </c>
      <c r="E122" s="7" t="s">
        <v>430</v>
      </c>
      <c r="F122" s="5">
        <v>1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9" t="s">
        <v>669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574</v>
      </c>
      <c r="D123" s="7" t="s">
        <v>573</v>
      </c>
      <c r="E123" s="7" t="s">
        <v>430</v>
      </c>
      <c r="F123" s="5">
        <v>1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387</v>
      </c>
      <c r="D124" s="7" t="s">
        <v>388</v>
      </c>
      <c r="E124" s="38" t="str">
        <f t="shared" ref="E124:E135" si="31">IF($D124="","",TRIM($C124)&amp;" "&amp;CHAR(40)&amp;TRIM($D124)&amp;CHAR(41))</f>
        <v>Credit-Line (Crd)</v>
      </c>
      <c r="F124" s="5">
        <v>1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674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389</v>
      </c>
      <c r="E125" s="38" t="str">
        <f t="shared" si="31"/>
        <v>Caption (Cap)</v>
      </c>
      <c r="F125" s="5">
        <v>1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50" t="s">
        <v>674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575</v>
      </c>
      <c r="D126" s="7" t="s">
        <v>576</v>
      </c>
      <c r="E126" s="38" t="str">
        <f t="shared" si="31"/>
        <v>Speaker1 (Sp1)</v>
      </c>
      <c r="F126" s="5">
        <v>1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672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577</v>
      </c>
      <c r="D127" s="7" t="s">
        <v>578</v>
      </c>
      <c r="E127" s="38" t="str">
        <f t="shared" si="31"/>
        <v>Speaker2 (Sp2)</v>
      </c>
      <c r="F127" s="5">
        <v>1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672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507</v>
      </c>
      <c r="D128" s="7" t="s">
        <v>509</v>
      </c>
      <c r="E128" s="38" t="str">
        <f t="shared" si="31"/>
        <v>Dialogue1 (Dia1)</v>
      </c>
      <c r="F128" s="5">
        <v>1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672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508</v>
      </c>
      <c r="D129" s="7" t="s">
        <v>510</v>
      </c>
      <c r="E129" s="38" t="str">
        <f t="shared" si="31"/>
        <v>Dialogue2 (Dia2)</v>
      </c>
      <c r="F129" s="5">
        <v>1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672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390</v>
      </c>
      <c r="D130" s="7" t="s">
        <v>627</v>
      </c>
      <c r="E130" s="38" t="str">
        <f t="shared" si="31"/>
        <v>Stage-Directions (Stdir)</v>
      </c>
      <c r="F130" s="5">
        <v>1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672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391</v>
      </c>
      <c r="D131" s="7" t="s">
        <v>628</v>
      </c>
      <c r="E131" s="38" t="str">
        <f t="shared" si="31"/>
        <v>TOC-Frontmatter (Tocfm)</v>
      </c>
      <c r="F131" s="5">
        <v>1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9" t="s">
        <v>669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392</v>
      </c>
      <c r="D132" s="7" t="s">
        <v>629</v>
      </c>
      <c r="E132" s="38" t="str">
        <f t="shared" si="31"/>
        <v>TOC-Part (Tocpt)</v>
      </c>
      <c r="F132" s="5">
        <v>1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9" t="s">
        <v>669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393</v>
      </c>
      <c r="D133" s="7" t="s">
        <v>630</v>
      </c>
      <c r="E133" s="38" t="str">
        <f t="shared" si="31"/>
        <v>TOC-Chapter (Tocch)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9" t="s">
        <v>669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394</v>
      </c>
      <c r="D134" s="7" t="s">
        <v>636</v>
      </c>
      <c r="E134" s="38" t="str">
        <f t="shared" si="31"/>
        <v>TOC-Subhead (Tocsub)</v>
      </c>
      <c r="F134" s="5">
        <v>1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9" t="s">
        <v>669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395</v>
      </c>
      <c r="D135" s="7" t="s">
        <v>631</v>
      </c>
      <c r="E135" s="38" t="str">
        <f t="shared" si="31"/>
        <v>TOC-Backmatter (Tocbm)</v>
      </c>
      <c r="F135" s="5">
        <v>1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669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511</v>
      </c>
      <c r="D136" s="7" t="s">
        <v>512</v>
      </c>
      <c r="E136" s="7" t="s">
        <v>430</v>
      </c>
      <c r="F136" s="5">
        <v>2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673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513</v>
      </c>
      <c r="D137" s="7" t="s">
        <v>514</v>
      </c>
      <c r="E137" s="7" t="s">
        <v>430</v>
      </c>
      <c r="F137" s="5">
        <v>2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51" t="s">
        <v>71</v>
      </c>
      <c r="AR137" s="5">
        <v>3</v>
      </c>
      <c r="AS137" s="7">
        <v>18</v>
      </c>
      <c r="AT137" s="5" t="b">
        <v>1</v>
      </c>
      <c r="AU137" s="51" t="s">
        <v>71</v>
      </c>
      <c r="AV137" s="5">
        <v>1</v>
      </c>
      <c r="AW137" s="5">
        <v>24</v>
      </c>
      <c r="AX137" s="5" t="b">
        <v>1</v>
      </c>
      <c r="AY137" s="51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673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515</v>
      </c>
      <c r="D138" s="7" t="s">
        <v>516</v>
      </c>
      <c r="E138" s="7" t="s">
        <v>430</v>
      </c>
      <c r="F138" s="5">
        <v>2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51" t="s">
        <v>71</v>
      </c>
      <c r="AR138" s="5">
        <v>3</v>
      </c>
      <c r="AS138" s="7">
        <v>18</v>
      </c>
      <c r="AT138" s="5" t="b">
        <v>1</v>
      </c>
      <c r="AU138" s="51" t="s">
        <v>71</v>
      </c>
      <c r="AV138" s="5">
        <v>1</v>
      </c>
      <c r="AW138" s="5">
        <v>24</v>
      </c>
      <c r="AX138" s="5" t="b">
        <v>1</v>
      </c>
      <c r="AY138" s="51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673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396</v>
      </c>
      <c r="D139" s="7" t="s">
        <v>397</v>
      </c>
      <c r="E139" s="38" t="str">
        <f t="shared" ref="E139:E141" si="35">IF($D139="","",TRIM($C139)&amp;" "&amp;CHAR(40)&amp;TRIM($D139)&amp;CHAR(41))</f>
        <v>Design-Note (Dn)</v>
      </c>
      <c r="F139" s="5">
        <v>2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51" t="s">
        <v>71</v>
      </c>
      <c r="AR139" s="5">
        <v>1</v>
      </c>
      <c r="AS139" s="7">
        <v>24</v>
      </c>
      <c r="AT139" s="5" t="b">
        <v>1</v>
      </c>
      <c r="AU139" s="51" t="s">
        <v>71</v>
      </c>
      <c r="AV139" s="5">
        <v>1</v>
      </c>
      <c r="AW139" s="5">
        <v>24</v>
      </c>
      <c r="AX139" s="5" t="b">
        <v>1</v>
      </c>
      <c r="AY139" s="51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398</v>
      </c>
      <c r="D140" s="7" t="s">
        <v>399</v>
      </c>
      <c r="E140" s="38" t="str">
        <f t="shared" si="35"/>
        <v>Bookmaker-Processing-Instruction (Bpi)</v>
      </c>
      <c r="F140" s="5">
        <v>2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51" t="s">
        <v>71</v>
      </c>
      <c r="AR140" s="5">
        <v>1</v>
      </c>
      <c r="AS140" s="7">
        <v>24</v>
      </c>
      <c r="AT140" s="5" t="b">
        <v>1</v>
      </c>
      <c r="AU140" s="51" t="s">
        <v>71</v>
      </c>
      <c r="AV140" s="5">
        <v>1</v>
      </c>
      <c r="AW140" s="5">
        <v>24</v>
      </c>
      <c r="AX140" s="5" t="b">
        <v>1</v>
      </c>
      <c r="AY140" s="51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517</v>
      </c>
      <c r="D141" s="7" t="s">
        <v>518</v>
      </c>
      <c r="E141" s="38" t="str">
        <f t="shared" si="35"/>
        <v>Ebook-Only-Text (Eonly)</v>
      </c>
      <c r="F141" s="5">
        <v>9</v>
      </c>
      <c r="G141" s="7" t="b">
        <v>0</v>
      </c>
      <c r="H141" s="5">
        <v>1</v>
      </c>
      <c r="I141" s="5" t="s">
        <v>1</v>
      </c>
      <c r="J141" s="5">
        <v>11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52" t="s">
        <v>670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400</v>
      </c>
      <c r="D142" s="7" t="s">
        <v>401</v>
      </c>
      <c r="E142" s="7" t="s">
        <v>430</v>
      </c>
      <c r="F142" s="5">
        <v>4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683</v>
      </c>
      <c r="AN142" s="5">
        <v>1</v>
      </c>
      <c r="AO142" s="5">
        <v>12</v>
      </c>
      <c r="AP142" s="5" t="b">
        <v>1</v>
      </c>
      <c r="AQ142" s="47" t="s">
        <v>683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683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4" t="s">
        <v>684</v>
      </c>
      <c r="BJ142" s="37"/>
      <c r="BK142" s="5" t="s">
        <v>0</v>
      </c>
      <c r="BL142" s="7">
        <v>0</v>
      </c>
      <c r="BM142" s="5" t="b">
        <v>0</v>
      </c>
      <c r="BX142" s="7" t="s">
        <v>722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521</v>
      </c>
      <c r="D143" s="7" t="s">
        <v>524</v>
      </c>
      <c r="E143" s="7" t="s">
        <v>430</v>
      </c>
      <c r="F143" s="5">
        <v>4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683</v>
      </c>
      <c r="AN143" s="5">
        <v>1</v>
      </c>
      <c r="AO143" s="5">
        <v>12</v>
      </c>
      <c r="AP143" s="5" t="b">
        <v>1</v>
      </c>
      <c r="AQ143" s="47" t="s">
        <v>683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683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4" t="s">
        <v>684</v>
      </c>
      <c r="BJ143" s="37"/>
      <c r="BK143" s="5" t="s">
        <v>0</v>
      </c>
      <c r="BL143" s="7">
        <v>0</v>
      </c>
      <c r="BM143" s="5" t="b">
        <v>0</v>
      </c>
      <c r="BX143" s="7" t="s">
        <v>722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520</v>
      </c>
      <c r="D144" s="7" t="s">
        <v>523</v>
      </c>
      <c r="E144" s="7" t="s">
        <v>430</v>
      </c>
      <c r="F144" s="5">
        <v>4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683</v>
      </c>
      <c r="AN144" s="5">
        <v>1</v>
      </c>
      <c r="AO144" s="5">
        <v>12</v>
      </c>
      <c r="AP144" s="5" t="b">
        <v>1</v>
      </c>
      <c r="AQ144" s="47" t="s">
        <v>683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683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4" t="s">
        <v>684</v>
      </c>
      <c r="BJ144" s="37"/>
      <c r="BK144" s="5" t="s">
        <v>0</v>
      </c>
      <c r="BL144" s="7">
        <v>0</v>
      </c>
      <c r="BM144" s="5" t="b">
        <v>0</v>
      </c>
      <c r="BX144" s="7" t="s">
        <v>722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519</v>
      </c>
      <c r="D145" s="7" t="s">
        <v>522</v>
      </c>
      <c r="E145" s="7" t="s">
        <v>430</v>
      </c>
      <c r="F145" s="5">
        <v>4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683</v>
      </c>
      <c r="AN145" s="5">
        <v>1</v>
      </c>
      <c r="AO145" s="5">
        <v>12</v>
      </c>
      <c r="AP145" s="5" t="b">
        <v>1</v>
      </c>
      <c r="AQ145" s="47" t="s">
        <v>683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683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4" t="s">
        <v>684</v>
      </c>
      <c r="BJ145" s="37"/>
      <c r="BK145" s="5" t="s">
        <v>0</v>
      </c>
      <c r="BL145" s="7">
        <v>0</v>
      </c>
      <c r="BM145" s="5" t="b">
        <v>0</v>
      </c>
      <c r="BX145" s="7" t="s">
        <v>722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547</v>
      </c>
      <c r="D146" s="7" t="s">
        <v>548</v>
      </c>
      <c r="E146" s="7" t="s">
        <v>430</v>
      </c>
      <c r="F146" s="5">
        <v>4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683</v>
      </c>
      <c r="AN146" s="5">
        <v>1</v>
      </c>
      <c r="AO146" s="5">
        <v>12</v>
      </c>
      <c r="AP146" s="5" t="b">
        <v>1</v>
      </c>
      <c r="AQ146" s="47" t="s">
        <v>683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683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4" t="s">
        <v>684</v>
      </c>
      <c r="BJ146" s="37"/>
      <c r="BK146" s="5" t="s">
        <v>0</v>
      </c>
      <c r="BL146" s="7">
        <v>0</v>
      </c>
      <c r="BM146" s="5" t="b">
        <v>0</v>
      </c>
      <c r="BX146" s="7" t="s">
        <v>723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549</v>
      </c>
      <c r="D147" s="7" t="s">
        <v>550</v>
      </c>
      <c r="E147" s="7" t="s">
        <v>430</v>
      </c>
      <c r="F147" s="5">
        <v>4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683</v>
      </c>
      <c r="AN147" s="5">
        <v>1</v>
      </c>
      <c r="AO147" s="5">
        <v>12</v>
      </c>
      <c r="AP147" s="5" t="b">
        <v>1</v>
      </c>
      <c r="AQ147" s="47" t="s">
        <v>683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683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4" t="s">
        <v>684</v>
      </c>
      <c r="BJ147" s="37"/>
      <c r="BK147" s="5" t="s">
        <v>0</v>
      </c>
      <c r="BL147" s="7">
        <v>0</v>
      </c>
      <c r="BM147" s="5" t="b">
        <v>0</v>
      </c>
      <c r="BX147" s="7" t="s">
        <v>723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525</v>
      </c>
      <c r="D148" s="7" t="s">
        <v>525</v>
      </c>
      <c r="E148" s="7" t="s">
        <v>430</v>
      </c>
      <c r="F148" s="5">
        <v>4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683</v>
      </c>
      <c r="AN148" s="5">
        <v>1</v>
      </c>
      <c r="AO148" s="5">
        <v>12</v>
      </c>
      <c r="AP148" s="5" t="b">
        <v>1</v>
      </c>
      <c r="AQ148" s="47" t="s">
        <v>683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683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684</v>
      </c>
      <c r="BJ148" s="37"/>
      <c r="BK148" s="5" t="s">
        <v>0</v>
      </c>
      <c r="BL148" s="7">
        <v>0</v>
      </c>
      <c r="BM148" s="5" t="b">
        <v>0</v>
      </c>
      <c r="BX148" s="7" t="s">
        <v>724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526</v>
      </c>
      <c r="D149" s="7" t="s">
        <v>526</v>
      </c>
      <c r="E149" s="7" t="s">
        <v>430</v>
      </c>
      <c r="F149" s="5">
        <v>4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683</v>
      </c>
      <c r="AN149" s="5">
        <v>1</v>
      </c>
      <c r="AO149" s="5">
        <v>12</v>
      </c>
      <c r="AP149" s="5" t="b">
        <v>1</v>
      </c>
      <c r="AQ149" s="47" t="s">
        <v>683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683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684</v>
      </c>
      <c r="BJ149" s="37"/>
      <c r="BK149" s="5" t="s">
        <v>0</v>
      </c>
      <c r="BL149" s="7">
        <v>0</v>
      </c>
      <c r="BM149" s="5" t="b">
        <v>0</v>
      </c>
      <c r="BX149" s="7" t="s">
        <v>724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527</v>
      </c>
      <c r="D150" s="7" t="s">
        <v>528</v>
      </c>
      <c r="E150" s="7" t="s">
        <v>430</v>
      </c>
      <c r="F150" s="5">
        <v>4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683</v>
      </c>
      <c r="AN150" s="5">
        <v>1</v>
      </c>
      <c r="AO150" s="5">
        <v>12</v>
      </c>
      <c r="AP150" s="5" t="b">
        <v>1</v>
      </c>
      <c r="AQ150" s="47" t="s">
        <v>683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683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4" t="s">
        <v>684</v>
      </c>
      <c r="BJ150" s="37"/>
      <c r="BK150" s="5" t="s">
        <v>0</v>
      </c>
      <c r="BL150" s="7">
        <v>0</v>
      </c>
      <c r="BM150" s="5" t="b">
        <v>0</v>
      </c>
      <c r="BX150" s="7" t="s">
        <v>725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529</v>
      </c>
      <c r="D151" s="7" t="s">
        <v>530</v>
      </c>
      <c r="E151" s="7" t="s">
        <v>430</v>
      </c>
      <c r="F151" s="5">
        <v>4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683</v>
      </c>
      <c r="AN151" s="5">
        <v>1</v>
      </c>
      <c r="AO151" s="5">
        <v>12</v>
      </c>
      <c r="AP151" s="5" t="b">
        <v>1</v>
      </c>
      <c r="AQ151" s="47" t="s">
        <v>683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683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4" t="s">
        <v>684</v>
      </c>
      <c r="BJ151" s="37"/>
      <c r="BK151" s="5" t="s">
        <v>0</v>
      </c>
      <c r="BL151" s="7">
        <v>0</v>
      </c>
      <c r="BM151" s="5" t="b">
        <v>0</v>
      </c>
      <c r="BX151" s="7" t="s">
        <v>725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531</v>
      </c>
      <c r="D152" s="7" t="s">
        <v>532</v>
      </c>
      <c r="E152" s="7" t="s">
        <v>430</v>
      </c>
      <c r="F152" s="5">
        <v>4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683</v>
      </c>
      <c r="AN152" s="5">
        <v>1</v>
      </c>
      <c r="AO152" s="5">
        <v>12</v>
      </c>
      <c r="AP152" s="5" t="b">
        <v>1</v>
      </c>
      <c r="AQ152" s="47" t="s">
        <v>683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683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4" t="s">
        <v>684</v>
      </c>
      <c r="BJ152" s="37"/>
      <c r="BK152" s="5" t="s">
        <v>0</v>
      </c>
      <c r="BL152" s="7">
        <v>0</v>
      </c>
      <c r="BM152" s="5" t="b">
        <v>0</v>
      </c>
      <c r="BX152" s="7" t="s">
        <v>725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533</v>
      </c>
      <c r="D153" s="7" t="s">
        <v>534</v>
      </c>
      <c r="E153" s="7" t="s">
        <v>430</v>
      </c>
      <c r="F153" s="5">
        <v>4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683</v>
      </c>
      <c r="AN153" s="5">
        <v>1</v>
      </c>
      <c r="AO153" s="5">
        <v>12</v>
      </c>
      <c r="AP153" s="5" t="b">
        <v>1</v>
      </c>
      <c r="AQ153" s="47" t="s">
        <v>683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683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4" t="s">
        <v>684</v>
      </c>
      <c r="BJ153" s="37"/>
      <c r="BK153" s="5" t="s">
        <v>0</v>
      </c>
      <c r="BL153" s="7">
        <v>0</v>
      </c>
      <c r="BM153" s="5" t="b">
        <v>0</v>
      </c>
      <c r="BX153" s="7" t="s">
        <v>725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535</v>
      </c>
      <c r="D154" s="7" t="s">
        <v>536</v>
      </c>
      <c r="E154" s="7" t="s">
        <v>430</v>
      </c>
      <c r="F154" s="5">
        <v>4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683</v>
      </c>
      <c r="AN154" s="5">
        <v>1</v>
      </c>
      <c r="AO154" s="5">
        <v>12</v>
      </c>
      <c r="AP154" s="5" t="b">
        <v>1</v>
      </c>
      <c r="AQ154" s="47" t="s">
        <v>683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683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684</v>
      </c>
      <c r="BJ154" s="37"/>
      <c r="BK154" s="5" t="s">
        <v>0</v>
      </c>
      <c r="BL154" s="7">
        <v>0</v>
      </c>
      <c r="BM154" s="5" t="b">
        <v>0</v>
      </c>
      <c r="BX154" s="7" t="s">
        <v>726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537</v>
      </c>
      <c r="D155" s="7" t="s">
        <v>538</v>
      </c>
      <c r="E155" s="7" t="s">
        <v>430</v>
      </c>
      <c r="F155" s="5">
        <v>4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683</v>
      </c>
      <c r="AN155" s="5">
        <v>1</v>
      </c>
      <c r="AO155" s="5">
        <v>12</v>
      </c>
      <c r="AP155" s="5" t="b">
        <v>1</v>
      </c>
      <c r="AQ155" s="47" t="s">
        <v>683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683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684</v>
      </c>
      <c r="BJ155" s="37"/>
      <c r="BK155" s="5" t="s">
        <v>0</v>
      </c>
      <c r="BL155" s="7">
        <v>0</v>
      </c>
      <c r="BM155" s="5" t="b">
        <v>0</v>
      </c>
      <c r="BX155" s="7" t="s">
        <v>726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539</v>
      </c>
      <c r="D156" s="7" t="s">
        <v>541</v>
      </c>
      <c r="E156" s="7" t="s">
        <v>430</v>
      </c>
      <c r="F156" s="5">
        <v>4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683</v>
      </c>
      <c r="AN156" s="5">
        <v>1</v>
      </c>
      <c r="AO156" s="5">
        <v>12</v>
      </c>
      <c r="AP156" s="5" t="b">
        <v>1</v>
      </c>
      <c r="AQ156" s="47" t="s">
        <v>683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683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5" t="s">
        <v>682</v>
      </c>
      <c r="BJ156" s="37"/>
      <c r="BK156" s="5" t="s">
        <v>0</v>
      </c>
      <c r="BL156" s="7">
        <v>0</v>
      </c>
      <c r="BM156" s="5" t="b">
        <v>0</v>
      </c>
      <c r="BX156" s="7" t="s">
        <v>727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540</v>
      </c>
      <c r="D157" s="7" t="s">
        <v>542</v>
      </c>
      <c r="E157" s="7" t="s">
        <v>430</v>
      </c>
      <c r="F157" s="5">
        <v>4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683</v>
      </c>
      <c r="AN157" s="5">
        <v>1</v>
      </c>
      <c r="AO157" s="5">
        <v>12</v>
      </c>
      <c r="AP157" s="5" t="b">
        <v>1</v>
      </c>
      <c r="AQ157" s="47" t="s">
        <v>683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683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5" t="s">
        <v>682</v>
      </c>
      <c r="BJ157" s="37"/>
      <c r="BK157" s="5" t="s">
        <v>0</v>
      </c>
      <c r="BL157" s="7">
        <v>0</v>
      </c>
      <c r="BM157" s="5" t="b">
        <v>0</v>
      </c>
      <c r="BX157" s="7" t="s">
        <v>727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402</v>
      </c>
      <c r="D158" s="7" t="s">
        <v>403</v>
      </c>
      <c r="E158" s="7" t="s">
        <v>430</v>
      </c>
      <c r="F158" s="5">
        <v>4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683</v>
      </c>
      <c r="AN158" s="5">
        <v>1</v>
      </c>
      <c r="AO158" s="5">
        <v>12</v>
      </c>
      <c r="AP158" s="5" t="b">
        <v>1</v>
      </c>
      <c r="AQ158" s="47" t="s">
        <v>683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683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5" t="s">
        <v>682</v>
      </c>
      <c r="BJ158" s="37"/>
      <c r="BK158" s="5" t="s">
        <v>0</v>
      </c>
      <c r="BL158" s="7">
        <v>0</v>
      </c>
      <c r="BM158" s="5" t="b">
        <v>0</v>
      </c>
      <c r="BX158" s="7" t="s">
        <v>728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543</v>
      </c>
      <c r="D159" s="7" t="s">
        <v>544</v>
      </c>
      <c r="E159" s="7" t="s">
        <v>430</v>
      </c>
      <c r="F159" s="5">
        <v>4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683</v>
      </c>
      <c r="AN159" s="5">
        <v>1</v>
      </c>
      <c r="AO159" s="5">
        <v>12</v>
      </c>
      <c r="AP159" s="5" t="b">
        <v>1</v>
      </c>
      <c r="AQ159" s="47" t="s">
        <v>683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683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5" t="s">
        <v>682</v>
      </c>
      <c r="BJ159" s="37"/>
      <c r="BK159" s="5" t="s">
        <v>0</v>
      </c>
      <c r="BL159" s="7">
        <v>0</v>
      </c>
      <c r="BM159" s="5" t="b">
        <v>0</v>
      </c>
      <c r="BX159" s="7" t="s">
        <v>729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545</v>
      </c>
      <c r="D160" s="7" t="s">
        <v>546</v>
      </c>
      <c r="E160" s="7" t="s">
        <v>430</v>
      </c>
      <c r="F160" s="5">
        <v>4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683</v>
      </c>
      <c r="AN160" s="5">
        <v>1</v>
      </c>
      <c r="AO160" s="5">
        <v>12</v>
      </c>
      <c r="AP160" s="5" t="b">
        <v>1</v>
      </c>
      <c r="AQ160" s="47" t="s">
        <v>683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683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5" t="s">
        <v>682</v>
      </c>
      <c r="BJ160" s="37"/>
      <c r="BK160" s="5" t="s">
        <v>0</v>
      </c>
      <c r="BL160" s="7">
        <v>0</v>
      </c>
      <c r="BM160" s="5" t="b">
        <v>0</v>
      </c>
      <c r="BX160" s="7" t="s">
        <v>730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583</v>
      </c>
      <c r="D161" s="7" t="s">
        <v>584</v>
      </c>
      <c r="E161" s="7" t="s">
        <v>430</v>
      </c>
      <c r="F161" s="5">
        <v>4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683</v>
      </c>
      <c r="AN161" s="5">
        <v>1</v>
      </c>
      <c r="AO161" s="5">
        <v>12</v>
      </c>
      <c r="AP161" s="5" t="b">
        <v>1</v>
      </c>
      <c r="AQ161" s="47" t="s">
        <v>683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683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4" t="s">
        <v>684</v>
      </c>
      <c r="BJ161" s="37"/>
      <c r="BK161" s="5" t="s">
        <v>0</v>
      </c>
      <c r="BL161" s="7">
        <v>0</v>
      </c>
      <c r="BM161" s="5" t="b">
        <v>0</v>
      </c>
      <c r="BX161" s="7" t="s">
        <v>717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585</v>
      </c>
      <c r="D162" s="7" t="s">
        <v>585</v>
      </c>
      <c r="E162" s="7" t="s">
        <v>430</v>
      </c>
      <c r="F162" s="5">
        <v>5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686</v>
      </c>
      <c r="AR162" s="5">
        <v>1</v>
      </c>
      <c r="AS162" s="5">
        <v>36</v>
      </c>
      <c r="AT162" s="46" t="b">
        <v>1</v>
      </c>
      <c r="AU162" s="25" t="s">
        <v>686</v>
      </c>
      <c r="AV162" s="5">
        <v>1</v>
      </c>
      <c r="AW162" s="5">
        <v>12</v>
      </c>
      <c r="AX162" s="5" t="b">
        <v>1</v>
      </c>
      <c r="AY162" s="25" t="s">
        <v>686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6" t="s">
        <v>685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404</v>
      </c>
      <c r="D163" s="7" t="s">
        <v>405</v>
      </c>
      <c r="E163" s="38" t="str">
        <f t="shared" ref="E163:E191" si="42">IF($D163="","",TRIM($C163)&amp;" "&amp;CHAR(40)&amp;TRIM($D163)&amp;CHAR(41))</f>
        <v>bold (b)</v>
      </c>
      <c r="F163" s="5">
        <v>7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675</v>
      </c>
      <c r="BK163" s="5" t="s">
        <v>70</v>
      </c>
      <c r="BL163" s="5"/>
      <c r="BM163" s="5" t="b">
        <v>0</v>
      </c>
      <c r="CS163" s="31" t="str">
        <f t="shared" ref="CS163:CS191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217</v>
      </c>
      <c r="D164" s="7" t="s">
        <v>406</v>
      </c>
      <c r="E164" s="38" t="str">
        <f t="shared" si="42"/>
        <v>ital (i)</v>
      </c>
      <c r="F164" s="5">
        <v>7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675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407</v>
      </c>
      <c r="D165" s="7" t="s">
        <v>408</v>
      </c>
      <c r="E165" s="38" t="str">
        <f t="shared" si="42"/>
        <v>underline (u)</v>
      </c>
      <c r="F165" s="5">
        <v>7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675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409</v>
      </c>
      <c r="D166" s="7" t="s">
        <v>579</v>
      </c>
      <c r="E166" s="38" t="str">
        <f t="shared" si="42"/>
        <v>smallcaps (sc)</v>
      </c>
      <c r="F166" s="5">
        <v>7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675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410</v>
      </c>
      <c r="D167" s="7" t="s">
        <v>580</v>
      </c>
      <c r="E167" s="38" t="str">
        <f t="shared" si="42"/>
        <v>super (sup)</v>
      </c>
      <c r="F167" s="5">
        <v>7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675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218</v>
      </c>
      <c r="D168" s="7" t="s">
        <v>218</v>
      </c>
      <c r="E168" s="38" t="str">
        <f t="shared" si="42"/>
        <v>sub (sub)</v>
      </c>
      <c r="F168" s="5">
        <v>7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675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411</v>
      </c>
      <c r="D169" s="7" t="s">
        <v>581</v>
      </c>
      <c r="E169" s="38" t="str">
        <f t="shared" si="42"/>
        <v>strike (str)</v>
      </c>
      <c r="F169" s="5">
        <v>7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675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711</v>
      </c>
      <c r="D170" s="7" t="s">
        <v>689</v>
      </c>
      <c r="E170" s="38" t="str">
        <f t="shared" si="42"/>
        <v>bold-ital (bi)</v>
      </c>
      <c r="F170" s="5">
        <v>7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675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694</v>
      </c>
      <c r="D171" s="7" t="s">
        <v>690</v>
      </c>
      <c r="E171" s="38" t="str">
        <f>IF($D171="","",TRIM($C171)&amp;" "&amp;CHAR(40)&amp;TRIM($D171)&amp;CHAR(41))</f>
        <v>smallcaps-ital (sci)</v>
      </c>
      <c r="F171" s="5">
        <v>7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675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692</v>
      </c>
      <c r="D172" s="7" t="s">
        <v>693</v>
      </c>
      <c r="E172" s="38" t="str">
        <f>IF($D172="","",TRIM($C172)&amp;" "&amp;CHAR(40)&amp;TRIM($D172)&amp;CHAR(41))</f>
        <v>smallcaps-bold (scb)</v>
      </c>
      <c r="F172" s="5">
        <v>7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675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695</v>
      </c>
      <c r="D173" s="7" t="s">
        <v>696</v>
      </c>
      <c r="E173" s="38" t="str">
        <f>IF($D173="","",TRIM($C173)&amp;" "&amp;CHAR(40)&amp;TRIM($D173)&amp;CHAR(41))</f>
        <v>smallcaps-bold-ital (scbi)</v>
      </c>
      <c r="F173" s="5">
        <v>7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675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700</v>
      </c>
      <c r="D174" s="7" t="s">
        <v>691</v>
      </c>
      <c r="E174" s="38" t="str">
        <f>IF($D174="","",TRIM($C174)&amp;" "&amp;CHAR(40)&amp;TRIM($D174)&amp;CHAR(41))</f>
        <v>super-ital (supi)</v>
      </c>
      <c r="F174" s="5">
        <v>7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675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551</v>
      </c>
      <c r="D175" s="7" t="s">
        <v>552</v>
      </c>
      <c r="E175" s="38" t="str">
        <f t="shared" si="42"/>
        <v>cstyle1 (cs1)</v>
      </c>
      <c r="F175" s="5">
        <v>7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675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553</v>
      </c>
      <c r="D176" s="7" t="s">
        <v>554</v>
      </c>
      <c r="E176" s="38" t="str">
        <f t="shared" si="42"/>
        <v>cstyle2 (cs2)</v>
      </c>
      <c r="F176" s="5">
        <v>7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675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412</v>
      </c>
      <c r="D177" s="7" t="s">
        <v>681</v>
      </c>
      <c r="E177" s="38" t="str">
        <f t="shared" si="42"/>
        <v>cs-head (cshd)</v>
      </c>
      <c r="F177" s="5">
        <v>7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679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413</v>
      </c>
      <c r="D178" s="7" t="s">
        <v>414</v>
      </c>
      <c r="E178" s="38" t="str">
        <f t="shared" si="42"/>
        <v>cs-speaker (csp)</v>
      </c>
      <c r="F178" s="5">
        <v>7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679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415</v>
      </c>
      <c r="D179" s="7" t="s">
        <v>416</v>
      </c>
      <c r="E179" s="38" t="str">
        <f t="shared" si="42"/>
        <v>cs-text-message (ctm)</v>
      </c>
      <c r="F179" s="5">
        <v>7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679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566</v>
      </c>
      <c r="D180" s="7" t="s">
        <v>555</v>
      </c>
      <c r="E180" s="38" t="str">
        <f t="shared" si="42"/>
        <v>cs-computer (ccom)</v>
      </c>
      <c r="F180" s="5">
        <v>7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679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417</v>
      </c>
      <c r="D181" s="7" t="s">
        <v>418</v>
      </c>
      <c r="E181" s="38" t="str">
        <f t="shared" si="42"/>
        <v>cs-design-note (cdn)</v>
      </c>
      <c r="F181" s="5">
        <v>7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419</v>
      </c>
      <c r="D182" s="7" t="s">
        <v>582</v>
      </c>
      <c r="E182" s="38" t="str">
        <f t="shared" si="42"/>
        <v>cs-image-placement (cimg)</v>
      </c>
      <c r="F182" s="5">
        <v>7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symbols (sym)</v>
      </c>
      <c r="C183" s="7" t="s">
        <v>701</v>
      </c>
      <c r="D183" s="7" t="s">
        <v>702</v>
      </c>
      <c r="E183" s="38" t="str">
        <f t="shared" si="42"/>
        <v>symbols (sym)</v>
      </c>
      <c r="F183" s="5">
        <v>7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3" t="s">
        <v>677</v>
      </c>
      <c r="BK183" s="5" t="s">
        <v>70</v>
      </c>
      <c r="BL183" s="5"/>
      <c r="BM183" s="5" t="b">
        <v>0</v>
      </c>
      <c r="CS183" s="31" t="str">
        <f t="shared" si="43"/>
        <v>.symbolssym</v>
      </c>
    </row>
    <row r="184" spans="1:97">
      <c r="A184" s="38" t="str">
        <f>IF($D184="","",TRIM($C184)&amp;" "&amp;CHAR(40)&amp;TRIM($D184)&amp;CHAR(41))</f>
        <v>symbols-ital (symi)</v>
      </c>
      <c r="C184" s="7" t="s">
        <v>698</v>
      </c>
      <c r="D184" s="7" t="s">
        <v>699</v>
      </c>
      <c r="E184" s="38" t="str">
        <f>IF($D184="","",TRIM($C184)&amp;" "&amp;CHAR(40)&amp;TRIM($D184)&amp;CHAR(41))</f>
        <v>symbols-ital (symi)</v>
      </c>
      <c r="F184" s="5">
        <v>7</v>
      </c>
      <c r="G184" s="7" t="b">
        <v>0</v>
      </c>
      <c r="H184" s="5">
        <v>2</v>
      </c>
      <c r="I184" s="5" t="s">
        <v>67</v>
      </c>
      <c r="J184" s="7">
        <v>12</v>
      </c>
      <c r="K184" s="7" t="b">
        <v>1</v>
      </c>
      <c r="L184" s="7" t="b">
        <v>0</v>
      </c>
      <c r="M184" s="6" t="s">
        <v>66</v>
      </c>
      <c r="N184" s="5" t="b">
        <v>0</v>
      </c>
      <c r="O184" s="7" t="b">
        <v>0</v>
      </c>
      <c r="P184" s="7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BG184" s="6" t="s">
        <v>66</v>
      </c>
      <c r="BH184" s="5">
        <v>0</v>
      </c>
      <c r="BI184" s="5">
        <v>0</v>
      </c>
      <c r="BJ184" s="43" t="s">
        <v>677</v>
      </c>
      <c r="BK184" s="5" t="s">
        <v>70</v>
      </c>
      <c r="BM184" s="5" t="b">
        <v>0</v>
      </c>
      <c r="CS184" s="31" t="str">
        <f>"."&amp;SUBSTITUTE(SUBSTITUTE(SUBSTITUTE(SUBSTITUTE(A184, "(",""),")","")," ",""),"#","")</f>
        <v>.symbols-italsymi</v>
      </c>
    </row>
    <row r="185" spans="1:97">
      <c r="A185" s="38" t="str">
        <f t="shared" si="23"/>
        <v>cross-reference (xref)</v>
      </c>
      <c r="C185" s="7" t="s">
        <v>420</v>
      </c>
      <c r="D185" s="7" t="s">
        <v>216</v>
      </c>
      <c r="E185" s="38" t="str">
        <f t="shared" si="42"/>
        <v>cross-reference (xref)</v>
      </c>
      <c r="F185" s="5">
        <v>7</v>
      </c>
      <c r="G185" s="7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57" t="s">
        <v>676</v>
      </c>
      <c r="BK185" s="5" t="s">
        <v>70</v>
      </c>
      <c r="BL185" s="5"/>
      <c r="BM185" s="5" t="b">
        <v>0</v>
      </c>
      <c r="CS185" s="31" t="str">
        <f t="shared" si="43"/>
        <v>.cross-referencexref</v>
      </c>
    </row>
    <row r="186" spans="1:97">
      <c r="A186" s="38" t="str">
        <f>IF($D186="","",TRIM($C186)&amp;" "&amp;CHAR(40)&amp;TRIM($D186)&amp;CHAR(41))</f>
        <v>redacted-text (red)</v>
      </c>
      <c r="C186" s="7" t="s">
        <v>556</v>
      </c>
      <c r="D186" s="7" t="s">
        <v>557</v>
      </c>
      <c r="E186" s="38" t="s">
        <v>558</v>
      </c>
      <c r="F186" s="5">
        <v>7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1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5" t="s">
        <v>679</v>
      </c>
      <c r="BK186" s="5" t="s">
        <v>70</v>
      </c>
      <c r="BL186" s="5"/>
      <c r="BM186" s="5" t="b">
        <v>0</v>
      </c>
      <c r="CS186" s="31" t="str">
        <f t="shared" ref="CS186:CS187" si="47">"."&amp;SUBSTITUTE(SUBSTITUTE(SUBSTITUTE(SUBSTITUTE(A186, "(",""),")","")," ",""),"#","")</f>
        <v>.redacted-textred</v>
      </c>
    </row>
    <row r="187" spans="1:97">
      <c r="A187" s="38" t="str">
        <f>IF($D187="","",TRIM($C187)&amp;" "&amp;CHAR(40)&amp;TRIM($D187)&amp;CHAR(41))</f>
        <v>keyphrase (kp)</v>
      </c>
      <c r="C187" s="7" t="s">
        <v>559</v>
      </c>
      <c r="D187" s="7" t="s">
        <v>560</v>
      </c>
      <c r="E187" s="38" t="s">
        <v>561</v>
      </c>
      <c r="F187" s="5">
        <v>7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7" t="s">
        <v>676</v>
      </c>
      <c r="BK187" s="5" t="s">
        <v>70</v>
      </c>
      <c r="BL187" s="5"/>
      <c r="BM187" s="5" t="b">
        <v>0</v>
      </c>
      <c r="CS187" s="31" t="str">
        <f t="shared" si="47"/>
        <v>.keyphrasekp</v>
      </c>
    </row>
    <row r="188" spans="1:97">
      <c r="A188" s="38" t="str">
        <f t="shared" si="23"/>
        <v>cs-cleanup-exclude (cex)</v>
      </c>
      <c r="C188" s="7" t="s">
        <v>421</v>
      </c>
      <c r="D188" s="7" t="s">
        <v>422</v>
      </c>
      <c r="E188" s="38" t="str">
        <f t="shared" si="42"/>
        <v>cs-cleanup-exclude (cex)</v>
      </c>
      <c r="F188" s="5">
        <v>7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3" t="s">
        <v>677</v>
      </c>
      <c r="BK188" s="5" t="s">
        <v>70</v>
      </c>
      <c r="BL188" s="5"/>
      <c r="BM188" s="5" t="b">
        <v>0</v>
      </c>
      <c r="CS188" s="31" t="str">
        <f t="shared" si="43"/>
        <v>.cs-cleanup-excludecex</v>
      </c>
    </row>
    <row r="189" spans="1:97">
      <c r="A189" s="38" t="str">
        <f t="shared" si="23"/>
        <v>bookmaker-keep-together (bkt)</v>
      </c>
      <c r="C189" s="7" t="s">
        <v>423</v>
      </c>
      <c r="D189" s="7" t="s">
        <v>215</v>
      </c>
      <c r="E189" s="38" t="str">
        <f t="shared" si="42"/>
        <v>bookmaker-keep-together (bkt)</v>
      </c>
      <c r="F189" s="5">
        <v>7</v>
      </c>
      <c r="G189" s="5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J189" s="5"/>
      <c r="AK189" s="5"/>
      <c r="AL189" s="5"/>
      <c r="AM189" s="6"/>
      <c r="AN189" s="5"/>
      <c r="AO189" s="5"/>
      <c r="AP189" s="5"/>
      <c r="AQ189" s="6"/>
      <c r="AR189" s="5"/>
      <c r="AS189" s="5"/>
      <c r="AT189" s="5"/>
      <c r="AU189" s="6"/>
      <c r="AV189" s="5"/>
      <c r="AW189" s="5"/>
      <c r="AX189" s="5"/>
      <c r="AY189" s="6"/>
      <c r="AZ189" s="5"/>
      <c r="BA189" s="5"/>
      <c r="BB189" s="5"/>
      <c r="BC189" s="5"/>
      <c r="BD189" s="5"/>
      <c r="BE189" s="5"/>
      <c r="BF189" s="6"/>
      <c r="BG189" s="6" t="s">
        <v>66</v>
      </c>
      <c r="BH189" s="5">
        <v>0</v>
      </c>
      <c r="BI189" s="5">
        <v>0</v>
      </c>
      <c r="BJ189" s="44" t="s">
        <v>678</v>
      </c>
      <c r="BK189" s="5" t="s">
        <v>70</v>
      </c>
      <c r="BL189" s="5"/>
      <c r="BM189" s="5" t="b">
        <v>0</v>
      </c>
      <c r="CS189" s="24" t="str">
        <f t="shared" si="43"/>
        <v>.bookmaker-keep-togetherbkt</v>
      </c>
    </row>
    <row r="190" spans="1:97">
      <c r="A190" s="38" t="str">
        <f t="shared" si="23"/>
        <v>bookmaker-loosen (bln)</v>
      </c>
      <c r="C190" s="7" t="s">
        <v>426</v>
      </c>
      <c r="D190" s="7" t="s">
        <v>427</v>
      </c>
      <c r="E190" s="38" t="str">
        <f t="shared" si="42"/>
        <v>bookmaker-loosen (bln)</v>
      </c>
      <c r="F190" s="5">
        <v>7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678</v>
      </c>
      <c r="BK190" s="5" t="s">
        <v>70</v>
      </c>
      <c r="BL190" s="5"/>
      <c r="BM190" s="5" t="b">
        <v>0</v>
      </c>
      <c r="CS190" s="24" t="str">
        <f t="shared" si="43"/>
        <v>.bookmaker-loosenbln</v>
      </c>
    </row>
    <row r="191" spans="1:97">
      <c r="A191" s="38" t="str">
        <f t="shared" si="23"/>
        <v>bookmaker-tighten (bti)</v>
      </c>
      <c r="C191" s="26" t="s">
        <v>424</v>
      </c>
      <c r="D191" s="36" t="s">
        <v>425</v>
      </c>
      <c r="E191" s="38" t="str">
        <f t="shared" si="42"/>
        <v>bookmaker-tighten (bti)</v>
      </c>
      <c r="F191" s="5">
        <v>7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678</v>
      </c>
      <c r="BK191" s="5" t="s">
        <v>70</v>
      </c>
      <c r="BL191" s="5"/>
      <c r="BM191" s="5" t="b">
        <v>0</v>
      </c>
      <c r="CS191" s="24" t="str">
        <f t="shared" si="43"/>
        <v>.bookmaker-tightenbti</v>
      </c>
    </row>
    <row r="192" spans="1:97">
      <c r="A192" s="38" t="str">
        <f>IF($D192="","",TRIM($C192)&amp;" "&amp;CHAR(40)&amp;TRIM($D192)&amp;CHAR(41))</f>
        <v>cs-isbn (isbn)</v>
      </c>
      <c r="C192" s="7" t="s">
        <v>750</v>
      </c>
      <c r="D192" s="7" t="s">
        <v>749</v>
      </c>
      <c r="E192" s="38" t="str">
        <f>IF($D192="","",TRIM($C192)&amp;" "&amp;CHAR(40)&amp;TRIM($D192)&amp;CHAR(41))</f>
        <v>cs-isbn (isbn)</v>
      </c>
      <c r="F192" s="60">
        <v>7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43" t="s">
        <v>677</v>
      </c>
      <c r="BK192" s="5" t="s">
        <v>70</v>
      </c>
      <c r="BL192" s="5"/>
      <c r="BM192" s="5" t="b">
        <v>0</v>
      </c>
      <c r="CS192" s="31" t="str">
        <f t="shared" ref="CS192" si="48">"."&amp;SUBSTITUTE(SUBSTITUTE(SUBSTITUTE(SUBSTITUTE(A192, "(",""),")","")," ",""),"#","")</f>
        <v>.cs-isbnisbn</v>
      </c>
    </row>
    <row r="193" spans="1:97">
      <c r="A193" s="38" t="str">
        <f t="shared" ref="A193" si="49">IF($D193="","",TRIM($C193)&amp;" "&amp;CHAR(40)&amp;TRIM($D193)&amp;CHAR(41))</f>
        <v/>
      </c>
      <c r="CS193" s="31" t="str">
        <f t="shared" ref="CS193" si="50">SUBSTITUTE(SUBSTITUTE(SUBSTITUTE(SUBSTITUTE(A193, "(",""),")","")," ",""),"#","")</f>
        <v/>
      </c>
    </row>
    <row r="194" spans="1:97">
      <c r="A194" s="38" t="str">
        <f>IF($D194="","",TRIM($C194)&amp;" "&amp;CHAR(40)&amp;TRIM($D194)&amp;CHAR(41))</f>
        <v/>
      </c>
      <c r="CS194" s="31" t="str">
        <f t="shared" ref="CS194:CS198" si="51">SUBSTITUTE(SUBSTITUTE(SUBSTITUTE(SUBSTITUTE(A194, "(",""),")","")," ",""),"#","")</f>
        <v/>
      </c>
    </row>
    <row r="195" spans="1:97">
      <c r="A195" s="38" t="str">
        <f t="shared" ref="A195:A198" si="52">IF($D195="","",TRIM($C195)&amp;" "&amp;CHAR(40)&amp;TRIM($D195)&amp;CHAR(41))</f>
        <v/>
      </c>
      <c r="CS195" s="31" t="str">
        <f t="shared" si="51"/>
        <v/>
      </c>
    </row>
    <row r="196" spans="1:97">
      <c r="A196" s="38" t="str">
        <f t="shared" si="52"/>
        <v/>
      </c>
      <c r="CS196" s="31" t="str">
        <f t="shared" si="51"/>
        <v/>
      </c>
    </row>
    <row r="197" spans="1:97">
      <c r="A197" s="38" t="str">
        <f t="shared" si="52"/>
        <v/>
      </c>
      <c r="CS197" s="31" t="str">
        <f t="shared" si="51"/>
        <v/>
      </c>
    </row>
    <row r="198" spans="1:97">
      <c r="A198" s="38" t="str">
        <f t="shared" si="52"/>
        <v/>
      </c>
      <c r="CS198" s="31" t="str">
        <f t="shared" si="51"/>
        <v/>
      </c>
    </row>
    <row r="199" spans="1:97">
      <c r="A199" s="38" t="str">
        <f t="shared" ref="A199:A205" si="53">IF($D199="","",TRIM($C199)&amp;" "&amp;CHAR(40)&amp;TRIM($D199)&amp;CHAR(41))</f>
        <v/>
      </c>
      <c r="CS199" s="31" t="str">
        <f t="shared" ref="CS199:CS205" si="54">"."&amp;SUBSTITUTE(SUBSTITUTE(SUBSTITUTE(SUBSTITUTE(A199, "(",""),")","")," ",""),"#","")</f>
        <v>.</v>
      </c>
    </row>
    <row r="200" spans="1:97">
      <c r="A200" s="38" t="str">
        <f t="shared" si="53"/>
        <v/>
      </c>
      <c r="CS200" s="31" t="str">
        <f t="shared" si="54"/>
        <v>.</v>
      </c>
    </row>
    <row r="201" spans="1:97">
      <c r="A201" s="38" t="str">
        <f t="shared" si="53"/>
        <v/>
      </c>
      <c r="CS201" s="31" t="str">
        <f t="shared" si="54"/>
        <v>.</v>
      </c>
    </row>
    <row r="202" spans="1:97">
      <c r="A202" s="38" t="str">
        <f t="shared" si="53"/>
        <v/>
      </c>
      <c r="CS202" s="31" t="str">
        <f t="shared" si="54"/>
        <v>.</v>
      </c>
    </row>
    <row r="203" spans="1:97">
      <c r="A203" s="38" t="str">
        <f t="shared" si="53"/>
        <v/>
      </c>
      <c r="CS203" s="31" t="str">
        <f t="shared" si="54"/>
        <v>.</v>
      </c>
    </row>
    <row r="204" spans="1:97">
      <c r="A204" s="38" t="str">
        <f t="shared" si="53"/>
        <v/>
      </c>
      <c r="CS204" s="31" t="str">
        <f t="shared" si="54"/>
        <v>.</v>
      </c>
    </row>
    <row r="205" spans="1:97">
      <c r="A205" s="38" t="str">
        <f t="shared" si="53"/>
        <v/>
      </c>
      <c r="CS205" s="31" t="str">
        <f t="shared" si="54"/>
        <v>.</v>
      </c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U1:CX1"/>
    <mergeCell ref="BN1:CT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G1:G3 G5:G169 G171:G191 G193:G1048576">
    <cfRule type="containsText" dxfId="177" priority="118" operator="containsText" text="true">
      <formula>NOT(ISERROR(SEARCH("true",G1)))</formula>
    </cfRule>
  </conditionalFormatting>
  <conditionalFormatting sqref="D5:D10 D12:D16">
    <cfRule type="duplicateValues" dxfId="176" priority="114"/>
  </conditionalFormatting>
  <conditionalFormatting sqref="D11">
    <cfRule type="duplicateValues" dxfId="175" priority="113"/>
  </conditionalFormatting>
  <conditionalFormatting sqref="D17">
    <cfRule type="duplicateValues" dxfId="174" priority="112"/>
  </conditionalFormatting>
  <conditionalFormatting sqref="D18:D20 D23:D35">
    <cfRule type="duplicateValues" dxfId="173" priority="111"/>
  </conditionalFormatting>
  <conditionalFormatting sqref="D21">
    <cfRule type="duplicateValues" dxfId="172" priority="110"/>
  </conditionalFormatting>
  <conditionalFormatting sqref="D22">
    <cfRule type="duplicateValues" dxfId="171" priority="109"/>
  </conditionalFormatting>
  <conditionalFormatting sqref="AR142 A140:AP140 AN137:AP139 AN136:AQ136 AV136:AW140 A136:AK139 R85:R168 S28:V169 A163:AR163 A59:AR60 A55:AQ58 A61:AQ61 A79:AR79 A78:AQ78 A80:AQ80 A128:AR128 A127:AQ127 A130:AR135 A129:AQ129 AR144:AR145 BB142:BE145 AT142:AW145 N142:W145 AN142:AP142 AP143:AP145 Y142:AL142 Y143:AK145 BA139:CX140 AT141:CX141 AT163:CX163 A5:CX5 BB136:CX138 BL171:CX174 BG142:CX162 AT6:CX135 BG4:CN4 AT170:CX170 A62:AR77 A113:AR126 A87:AQ112 A6:AR54 A141:AR141 A81:AR86 A164:CX169 A171:BF174 A175:CX191 A142:L162">
    <cfRule type="containsText" dxfId="170" priority="108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169" priority="105" operator="containsText" text="true">
      <formula>NOT(ISERROR(SEARCH("true",N146)))</formula>
    </cfRule>
  </conditionalFormatting>
  <conditionalFormatting sqref="AL136:AM139">
    <cfRule type="containsText" dxfId="168" priority="103" operator="containsText" text="true">
      <formula>NOT(ISERROR(SEARCH("true",AL136)))</formula>
    </cfRule>
  </conditionalFormatting>
  <conditionalFormatting sqref="AT137:AT140 AT136:AU136">
    <cfRule type="containsText" dxfId="167" priority="102" operator="containsText" text="true">
      <formula>NOT(ISERROR(SEARCH("true",AT136)))</formula>
    </cfRule>
  </conditionalFormatting>
  <conditionalFormatting sqref="AX137:AX140 AX136:AY136">
    <cfRule type="containsText" dxfId="166" priority="101" operator="containsText" text="true">
      <formula>NOT(ISERROR(SEARCH("true",AX136)))</formula>
    </cfRule>
  </conditionalFormatting>
  <conditionalFormatting sqref="AZ139:AZ140">
    <cfRule type="containsText" dxfId="165" priority="100" operator="containsText" text="true">
      <formula>NOT(ISERROR(SEARCH("true",AZ139)))</formula>
    </cfRule>
  </conditionalFormatting>
  <conditionalFormatting sqref="AS6:AS86 AS113:AS161">
    <cfRule type="containsText" dxfId="164" priority="93" operator="containsText" text="true">
      <formula>NOT(ISERROR(SEARCH("true",AS6)))</formula>
    </cfRule>
  </conditionalFormatting>
  <conditionalFormatting sqref="AR55:AR58">
    <cfRule type="containsText" dxfId="163" priority="92" operator="containsText" text="true">
      <formula>NOT(ISERROR(SEARCH("true",AR55)))</formula>
    </cfRule>
  </conditionalFormatting>
  <conditionalFormatting sqref="AR61">
    <cfRule type="containsText" dxfId="162" priority="91" operator="containsText" text="true">
      <formula>NOT(ISERROR(SEARCH("true",AR61)))</formula>
    </cfRule>
  </conditionalFormatting>
  <conditionalFormatting sqref="AR78">
    <cfRule type="containsText" dxfId="161" priority="90" operator="containsText" text="true">
      <formula>NOT(ISERROR(SEARCH("true",AR78)))</formula>
    </cfRule>
  </conditionalFormatting>
  <conditionalFormatting sqref="AR80">
    <cfRule type="containsText" dxfId="160" priority="89" operator="containsText" text="true">
      <formula>NOT(ISERROR(SEARCH("true",AR80)))</formula>
    </cfRule>
  </conditionalFormatting>
  <conditionalFormatting sqref="AR127">
    <cfRule type="containsText" dxfId="159" priority="88" operator="containsText" text="true">
      <formula>NOT(ISERROR(SEARCH("true",AR127)))</formula>
    </cfRule>
  </conditionalFormatting>
  <conditionalFormatting sqref="AR129">
    <cfRule type="containsText" dxfId="158" priority="87" operator="containsText" text="true">
      <formula>NOT(ISERROR(SEARCH("true",AR129)))</formula>
    </cfRule>
  </conditionalFormatting>
  <conditionalFormatting sqref="AR143">
    <cfRule type="containsText" dxfId="157" priority="86" operator="containsText" text="true">
      <formula>NOT(ISERROR(SEARCH("true",AR143)))</formula>
    </cfRule>
  </conditionalFormatting>
  <conditionalFormatting sqref="M142:M162">
    <cfRule type="containsText" dxfId="156" priority="75" operator="containsText" text="true">
      <formula>NOT(ISERROR(SEARCH("true",M142)))</formula>
    </cfRule>
  </conditionalFormatting>
  <conditionalFormatting sqref="AX143:AX160">
    <cfRule type="containsText" dxfId="155" priority="72" operator="containsText" text="true">
      <formula>NOT(ISERROR(SEARCH("true",AX143)))</formula>
    </cfRule>
  </conditionalFormatting>
  <conditionalFormatting sqref="AX142">
    <cfRule type="containsText" dxfId="154" priority="71" operator="containsText" text="true">
      <formula>NOT(ISERROR(SEARCH("true",AX142)))</formula>
    </cfRule>
  </conditionalFormatting>
  <conditionalFormatting sqref="BF142:BF161">
    <cfRule type="containsText" dxfId="153" priority="69" operator="containsText" text="true">
      <formula>NOT(ISERROR(SEARCH("true",BF142)))</formula>
    </cfRule>
  </conditionalFormatting>
  <conditionalFormatting sqref="AR136">
    <cfRule type="containsText" dxfId="152" priority="68" operator="containsText" text="true">
      <formula>NOT(ISERROR(SEARCH("true",AR136)))</formula>
    </cfRule>
  </conditionalFormatting>
  <conditionalFormatting sqref="AR137">
    <cfRule type="containsText" dxfId="151" priority="67" operator="containsText" text="true">
      <formula>NOT(ISERROR(SEARCH("true",AR137)))</formula>
    </cfRule>
  </conditionalFormatting>
  <conditionalFormatting sqref="AR138">
    <cfRule type="containsText" dxfId="150" priority="66" operator="containsText" text="true">
      <formula>NOT(ISERROR(SEARCH("true",AR138)))</formula>
    </cfRule>
  </conditionalFormatting>
  <conditionalFormatting sqref="AR139">
    <cfRule type="containsText" dxfId="149" priority="65" operator="containsText" text="true">
      <formula>NOT(ISERROR(SEARCH("true",AR139)))</formula>
    </cfRule>
  </conditionalFormatting>
  <conditionalFormatting sqref="AR140">
    <cfRule type="containsText" dxfId="148" priority="64" operator="containsText" text="true">
      <formula>NOT(ISERROR(SEARCH("true",AR140)))</formula>
    </cfRule>
  </conditionalFormatting>
  <conditionalFormatting sqref="AL143:AL162 AN162">
    <cfRule type="containsText" dxfId="147" priority="62" operator="containsText" text="true">
      <formula>NOT(ISERROR(SEARCH("true",AL143)))</formula>
    </cfRule>
  </conditionalFormatting>
  <conditionalFormatting sqref="AM162">
    <cfRule type="containsText" dxfId="146" priority="60" operator="containsText" text="true">
      <formula>NOT(ISERROR(SEARCH("true",AM162)))</formula>
    </cfRule>
  </conditionalFormatting>
  <conditionalFormatting sqref="BA142:BA162">
    <cfRule type="containsText" dxfId="145" priority="56" operator="containsText" text="true">
      <formula>NOT(ISERROR(SEARCH("true",BA142)))</formula>
    </cfRule>
  </conditionalFormatting>
  <conditionalFormatting sqref="AN143:AN161">
    <cfRule type="containsText" dxfId="144" priority="51" operator="containsText" text="true">
      <formula>NOT(ISERROR(SEARCH("true",AN143)))</formula>
    </cfRule>
  </conditionalFormatting>
  <conditionalFormatting sqref="AO162">
    <cfRule type="containsText" dxfId="143" priority="49" operator="containsText" text="true">
      <formula>NOT(ISERROR(SEARCH("true",AO162)))</formula>
    </cfRule>
  </conditionalFormatting>
  <conditionalFormatting sqref="AS162">
    <cfRule type="containsText" dxfId="142" priority="48" operator="containsText" text="true">
      <formula>NOT(ISERROR(SEARCH("true",AS162)))</formula>
    </cfRule>
  </conditionalFormatting>
  <conditionalFormatting sqref="AW162">
    <cfRule type="containsText" dxfId="141" priority="47" operator="containsText" text="true">
      <formula>NOT(ISERROR(SEARCH("true",AW162)))</formula>
    </cfRule>
  </conditionalFormatting>
  <conditionalFormatting sqref="AZ142 AZ144:AZ145">
    <cfRule type="containsText" dxfId="140" priority="46" operator="containsText" text="true">
      <formula>NOT(ISERROR(SEARCH("true",AZ142)))</formula>
    </cfRule>
  </conditionalFormatting>
  <conditionalFormatting sqref="AZ146:AZ162">
    <cfRule type="containsText" dxfId="139" priority="45" operator="containsText" text="true">
      <formula>NOT(ISERROR(SEARCH("true",AZ146)))</formula>
    </cfRule>
  </conditionalFormatting>
  <conditionalFormatting sqref="AZ143">
    <cfRule type="containsText" dxfId="138" priority="44" operator="containsText" text="true">
      <formula>NOT(ISERROR(SEARCH("true",AZ143)))</formula>
    </cfRule>
  </conditionalFormatting>
  <conditionalFormatting sqref="AY162">
    <cfRule type="containsText" dxfId="137" priority="40" operator="containsText" text="true">
      <formula>NOT(ISERROR(SEARCH("true",AY162)))</formula>
    </cfRule>
  </conditionalFormatting>
  <conditionalFormatting sqref="AQ142:AQ161">
    <cfRule type="containsText" dxfId="136" priority="39" operator="containsText" text="true">
      <formula>NOT(ISERROR(SEARCH("true",AQ142)))</formula>
    </cfRule>
  </conditionalFormatting>
  <conditionalFormatting sqref="AY142:AY161">
    <cfRule type="containsText" dxfId="135" priority="38" operator="containsText" text="true">
      <formula>NOT(ISERROR(SEARCH("true",AY142)))</formula>
    </cfRule>
  </conditionalFormatting>
  <conditionalFormatting sqref="AM142:AM161">
    <cfRule type="containsText" dxfId="134" priority="37" operator="containsText" text="true">
      <formula>NOT(ISERROR(SEARCH("true",AM142)))</formula>
    </cfRule>
  </conditionalFormatting>
  <conditionalFormatting sqref="AO143:AO161">
    <cfRule type="containsText" dxfId="133" priority="36" operator="containsText" text="true">
      <formula>NOT(ISERROR(SEARCH("true",AO143)))</formula>
    </cfRule>
  </conditionalFormatting>
  <conditionalFormatting sqref="AU162">
    <cfRule type="containsText" dxfId="132" priority="34" operator="containsText" text="true">
      <formula>NOT(ISERROR(SEARCH("true",AU162)))</formula>
    </cfRule>
  </conditionalFormatting>
  <conditionalFormatting sqref="AQ162">
    <cfRule type="containsText" dxfId="131" priority="33" operator="containsText" text="true">
      <formula>NOT(ISERROR(SEARCH("true",AQ162)))</formula>
    </cfRule>
  </conditionalFormatting>
  <conditionalFormatting sqref="X142:X162">
    <cfRule type="containsText" dxfId="130" priority="30" operator="containsText" text="true">
      <formula>NOT(ISERROR(SEARCH("true",X142)))</formula>
    </cfRule>
  </conditionalFormatting>
  <conditionalFormatting sqref="AR87:AR112">
    <cfRule type="containsText" dxfId="129" priority="29" operator="containsText" text="true">
      <formula>NOT(ISERROR(SEARCH("true",AR87)))</formula>
    </cfRule>
  </conditionalFormatting>
  <conditionalFormatting sqref="AS87:AS112">
    <cfRule type="containsText" dxfId="128" priority="28" operator="containsText" text="true">
      <formula>NOT(ISERROR(SEARCH("true",AS87)))</formula>
    </cfRule>
  </conditionalFormatting>
  <conditionalFormatting sqref="BA136:BA138">
    <cfRule type="containsText" dxfId="127" priority="27" operator="containsText" text="true">
      <formula>NOT(ISERROR(SEARCH("true",BA136)))</formula>
    </cfRule>
  </conditionalFormatting>
  <conditionalFormatting sqref="AZ136">
    <cfRule type="containsText" dxfId="126" priority="26" operator="containsText" text="true">
      <formula>NOT(ISERROR(SEARCH("true",AZ136)))</formula>
    </cfRule>
  </conditionalFormatting>
  <conditionalFormatting sqref="AZ137">
    <cfRule type="containsText" dxfId="125" priority="25" operator="containsText" text="true">
      <formula>NOT(ISERROR(SEARCH("true",AZ137)))</formula>
    </cfRule>
  </conditionalFormatting>
  <conditionalFormatting sqref="AZ138">
    <cfRule type="containsText" dxfId="124" priority="24" operator="containsText" text="true">
      <formula>NOT(ISERROR(SEARCH("true",AZ138)))</formula>
    </cfRule>
  </conditionalFormatting>
  <conditionalFormatting sqref="G4">
    <cfRule type="containsText" dxfId="123" priority="23" operator="containsText" text="true">
      <formula>NOT(ISERROR(SEARCH("true",G4)))</formula>
    </cfRule>
  </conditionalFormatting>
  <conditionalFormatting sqref="D4">
    <cfRule type="duplicateValues" dxfId="122" priority="22"/>
  </conditionalFormatting>
  <conditionalFormatting sqref="AT4:BE4 A4:D4 N4:AI4 AK4:AR4 CP4:CX4 F4:L4">
    <cfRule type="containsText" dxfId="121" priority="21" operator="containsText" text="true">
      <formula>NOT(ISERROR(SEARCH("true",A4)))</formula>
    </cfRule>
  </conditionalFormatting>
  <conditionalFormatting sqref="AS4">
    <cfRule type="containsText" dxfId="120" priority="20" operator="containsText" text="true">
      <formula>NOT(ISERROR(SEARCH("true",AS4)))</formula>
    </cfRule>
  </conditionalFormatting>
  <conditionalFormatting sqref="AJ4">
    <cfRule type="containsText" dxfId="119" priority="18" operator="containsText" text="true">
      <formula>NOT(ISERROR(SEARCH("true",AJ4)))</formula>
    </cfRule>
  </conditionalFormatting>
  <conditionalFormatting sqref="BF4">
    <cfRule type="containsText" dxfId="118" priority="17" operator="containsText" text="true">
      <formula>NOT(ISERROR(SEARCH("true",BF4)))</formula>
    </cfRule>
  </conditionalFormatting>
  <conditionalFormatting sqref="CO4">
    <cfRule type="containsText" dxfId="117" priority="16" operator="containsText" text="true">
      <formula>NOT(ISERROR(SEARCH("true",CO4)))</formula>
    </cfRule>
  </conditionalFormatting>
  <conditionalFormatting sqref="E4">
    <cfRule type="containsText" dxfId="116" priority="15" operator="containsText" text="true">
      <formula>NOT(ISERROR(SEARCH("true",E4)))</formula>
    </cfRule>
  </conditionalFormatting>
  <conditionalFormatting sqref="M4">
    <cfRule type="containsText" dxfId="115" priority="14" operator="containsText" text="true">
      <formula>NOT(ISERROR(SEARCH("true",M4)))</formula>
    </cfRule>
  </conditionalFormatting>
  <conditionalFormatting sqref="G170">
    <cfRule type="containsText" dxfId="114" priority="13" operator="containsText" text="true">
      <formula>NOT(ISERROR(SEARCH("true",G170)))</formula>
    </cfRule>
  </conditionalFormatting>
  <conditionalFormatting sqref="A170:E170 G170:AR170">
    <cfRule type="containsText" dxfId="113" priority="12" operator="containsText" text="true">
      <formula>NOT(ISERROR(SEARCH("true",A170)))</formula>
    </cfRule>
  </conditionalFormatting>
  <conditionalFormatting sqref="BG171:BK173">
    <cfRule type="containsText" dxfId="112" priority="7" operator="containsText" text="true">
      <formula>NOT(ISERROR(SEARCH("true",BG171)))</formula>
    </cfRule>
  </conditionalFormatting>
  <conditionalFormatting sqref="BG174:BK174">
    <cfRule type="containsText" dxfId="111" priority="6" operator="containsText" text="true">
      <formula>NOT(ISERROR(SEARCH("true",BG174)))</formula>
    </cfRule>
  </conditionalFormatting>
  <conditionalFormatting sqref="G192">
    <cfRule type="containsText" dxfId="110" priority="4" operator="containsText" text="true">
      <formula>NOT(ISERROR(SEARCH("true",G192)))</formula>
    </cfRule>
  </conditionalFormatting>
  <conditionalFormatting sqref="A192:E192 G192:CX192">
    <cfRule type="containsText" dxfId="109" priority="3" operator="containsText" text="true">
      <formula>NOT(ISERROR(SEARCH("true",A192)))</formula>
    </cfRule>
  </conditionalFormatting>
  <conditionalFormatting sqref="F170">
    <cfRule type="containsText" dxfId="108" priority="2" operator="containsText" text="true">
      <formula>NOT(ISERROR(SEARCH("true",F170)))</formula>
    </cfRule>
  </conditionalFormatting>
  <conditionalFormatting sqref="F192">
    <cfRule type="containsText" dxfId="107" priority="1" operator="containsText" text="true">
      <formula>NOT(ISERROR(SEARCH("true",F192)))</formula>
    </cfRule>
  </conditionalFormatting>
  <conditionalFormatting sqref="D193:D1048576 D1:D3">
    <cfRule type="duplicateValues" dxfId="106" priority="125"/>
  </conditionalFormatting>
  <dataValidations count="14">
    <dataValidation type="whole" allowBlank="1" showInputMessage="1" showErrorMessage="1" sqref="H112 H116:H118 H4:H105 H193:H328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2">
      <formula1>1</formula1>
      <formula2>4</formula2>
    </dataValidation>
    <dataValidation type="custom" allowBlank="1" showInputMessage="1" showErrorMessage="1" sqref="A194">
      <formula1>COUNTIF($C:$D, D191)&lt;=1</formula1>
    </dataValidation>
    <dataValidation type="decimal" operator="greaterThanOrEqual" allowBlank="1" showInputMessage="1" showErrorMessage="1" sqref="AF4:AF328 BB4:BE328 AA4:AD328 J4:J328 AH4:AH328">
      <formula1>0</formula1>
    </dataValidation>
    <dataValidation type="whole" allowBlank="1" showInputMessage="1" showErrorMessage="1" sqref="AI4:AI328">
      <formula1>1</formula1>
      <formula2>10</formula2>
    </dataValidation>
    <dataValidation type="whole" allowBlank="1" showInputMessage="1" showErrorMessage="1" sqref="AN4:AN328 AV4:AV328 AR4:AR328 BH4:BH328 AZ4:AZ328">
      <formula1>0</formula1>
      <formula2>24</formula2>
    </dataValidation>
    <dataValidation type="whole" allowBlank="1" showInputMessage="1" showErrorMessage="1" sqref="AG4:AG328">
      <formula1>0</formula1>
      <formula2>9</formula2>
    </dataValidation>
    <dataValidation type="whole" allowBlank="1" showInputMessage="1" showErrorMessage="1" sqref="AE4:AE328">
      <formula1>0</formula1>
      <formula2>5</formula2>
    </dataValidation>
    <dataValidation type="decimal" operator="greaterThanOrEqual" allowBlank="1" showInputMessage="1" showErrorMessage="1" sqref="F4:F328">
      <formula1>1</formula1>
    </dataValidation>
    <dataValidation type="whole" allowBlank="1" showInputMessage="1" showErrorMessage="1" sqref="BL4:BL328">
      <formula1>0</formula1>
      <formula2>0</formula2>
    </dataValidation>
    <dataValidation type="list" allowBlank="1" showInputMessage="1" showErrorMessage="1" sqref="E1:E67 E136:E138 E112 E119:E123 E84:E85 E115 E142:E162 E193:E1048576">
      <formula1>$A$4:$A$205</formula1>
    </dataValidation>
    <dataValidation type="custom" allowBlank="1" showInputMessage="1" showErrorMessage="1" sqref="D191">
      <formula1>COUNTIF($C:$D, E194)&lt;=1</formula1>
    </dataValidation>
    <dataValidation type="custom" allowBlank="1" showInputMessage="1" showErrorMessage="1" sqref="A195:A328 E113:E114 E139:E141 C193 C195:C328 D193:D328 E68:E83 C4:D35 E116:E118 E86:E111 E124:E135 E163:E192 A4:A193">
      <formula1>COUNTIF($C:$D, C4)&lt;=1</formula1>
    </dataValidation>
    <dataValidation type="custom" allowBlank="1" showInputMessage="1" showErrorMessage="1" sqref="D192 D36:D190">
      <formula1>COUNTIF($C:$D, E36)&lt;=1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validation_menus!$A$2:$A$3</xm:f>
          </x14:formula1>
          <xm:sqref>AX123 AL123 AT123 AT136:AT140 AX136:AX140 Q36:R170 N36:P183 N4:R35 S4:V170 Q171:V183 CQ4:CQ205 BY4:CN205 BS4:BW205 G4:G328 K4:L328 CX4:CX328 CU4:CU328 BM4:BM328 BS193:CN328 X4:Z328 AJ4:AK328 AP5:AP328 N184:V328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BI4:BI328 BA4:BA328 AW4:AW328 AO4:AO328 AS171:AS328</xm:sqref>
        </x14:dataValidation>
        <x14:dataValidation type="list" allowBlank="1" showInputMessage="1" showErrorMessage="1">
          <x14:formula1>
            <xm:f>validation_menus!$F$2:$F$11</xm:f>
          </x14:formula1>
          <xm:sqref>BX4:BX192</xm:sqref>
        </x14:dataValidation>
        <x14:dataValidation type="list" allowBlank="1" showInputMessage="1" showErrorMessage="1">
          <x14:formula1>
            <xm:f>validation_menus!$C$2:$C$3</xm:f>
          </x14:formula1>
          <xm:sqref>BK4:BK328</xm:sqref>
        </x14:dataValidation>
        <x14:dataValidation type="list" allowBlank="1" showInputMessage="1" showErrorMessage="1">
          <x14:formula1>
            <xm:f>validation_menus!$D$2:$D$95</xm:f>
          </x14:formula1>
          <xm:sqref>W4:W328</xm:sqref>
        </x14:dataValidation>
        <x14:dataValidation type="list" allowBlank="1" showInputMessage="1" showErrorMessage="1">
          <x14:formula1>
            <xm:f>validation_menus!$E$2:$E$6</xm:f>
          </x14:formula1>
          <xm:sqref>I4:I328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B2" sqref="B2:B10"/>
    </sheetView>
  </sheetViews>
  <sheetFormatPr defaultColWidth="11" defaultRowHeight="15.75"/>
  <cols>
    <col min="2" max="2" width="15" bestFit="1" customWidth="1"/>
    <col min="3" max="3" width="13.125" customWidth="1"/>
    <col min="6" max="6" width="17.8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720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717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722</v>
      </c>
    </row>
    <row r="4" spans="1:6">
      <c r="B4">
        <v>6</v>
      </c>
      <c r="D4" t="s">
        <v>108</v>
      </c>
      <c r="E4" s="22" t="s">
        <v>68</v>
      </c>
      <c r="F4" t="s">
        <v>723</v>
      </c>
    </row>
    <row r="5" spans="1:6">
      <c r="B5">
        <v>8</v>
      </c>
      <c r="D5" t="s">
        <v>109</v>
      </c>
      <c r="E5" s="22" t="s">
        <v>72</v>
      </c>
      <c r="F5" t="s">
        <v>724</v>
      </c>
    </row>
    <row r="6" spans="1:6">
      <c r="B6">
        <v>12</v>
      </c>
      <c r="D6" t="s">
        <v>110</v>
      </c>
      <c r="E6" s="22" t="s">
        <v>67</v>
      </c>
      <c r="F6" t="s">
        <v>725</v>
      </c>
    </row>
    <row r="7" spans="1:6">
      <c r="B7">
        <v>18</v>
      </c>
      <c r="D7" t="s">
        <v>111</v>
      </c>
      <c r="E7" s="22"/>
      <c r="F7" s="22" t="s">
        <v>726</v>
      </c>
    </row>
    <row r="8" spans="1:6">
      <c r="B8">
        <v>24</v>
      </c>
      <c r="D8" t="s">
        <v>112</v>
      </c>
      <c r="E8" s="22"/>
      <c r="F8" t="s">
        <v>727</v>
      </c>
    </row>
    <row r="9" spans="1:6">
      <c r="B9">
        <v>36</v>
      </c>
      <c r="D9" t="s">
        <v>113</v>
      </c>
      <c r="E9" s="22"/>
      <c r="F9" t="s">
        <v>728</v>
      </c>
    </row>
    <row r="10" spans="1:6">
      <c r="B10">
        <v>48</v>
      </c>
      <c r="D10" t="s">
        <v>114</v>
      </c>
      <c r="E10" s="22"/>
      <c r="F10" t="s">
        <v>729</v>
      </c>
    </row>
    <row r="11" spans="1:6" ht="16.5">
      <c r="A11" s="1"/>
      <c r="D11" t="s">
        <v>115</v>
      </c>
      <c r="E11" s="22"/>
      <c r="F11" t="s">
        <v>730</v>
      </c>
    </row>
    <row r="12" spans="1:6" ht="16.5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5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2019-11-04T20:25:06Z</dcterms:modified>
</cp:coreProperties>
</file>