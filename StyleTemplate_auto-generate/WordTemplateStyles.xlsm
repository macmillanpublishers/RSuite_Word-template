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9702165D-6722-4DF1-AA72-726403620F50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33" i="1" l="1"/>
  <c r="CU133" i="1"/>
  <c r="E133" i="1"/>
  <c r="A132" i="1"/>
  <c r="CU132" i="1"/>
  <c r="E132" i="1"/>
  <c r="A62" i="1"/>
  <c r="CU62" i="1"/>
  <c r="A53" i="1"/>
  <c r="CU5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8" i="1"/>
  <c r="CU68" i="1"/>
  <c r="A67" i="1"/>
  <c r="CU67" i="1"/>
  <c r="A66" i="1"/>
  <c r="CU66" i="1"/>
  <c r="A65" i="1"/>
  <c r="CU65" i="1"/>
  <c r="A64" i="1"/>
  <c r="CU64" i="1"/>
  <c r="A63" i="1"/>
  <c r="CU63" i="1"/>
  <c r="A61" i="1"/>
  <c r="CU61" i="1"/>
  <c r="A60" i="1"/>
  <c r="CU60" i="1"/>
  <c r="A59" i="1"/>
  <c r="CU59" i="1"/>
  <c r="A58" i="1"/>
  <c r="CU58" i="1"/>
  <c r="A57" i="1"/>
  <c r="CU57" i="1"/>
  <c r="A56" i="1"/>
  <c r="CU56" i="1"/>
  <c r="A55" i="1"/>
  <c r="CU55" i="1"/>
  <c r="A54" i="1"/>
  <c r="CU54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7" i="1"/>
  <c r="CU37" i="1"/>
  <c r="A36" i="1"/>
  <c r="CU36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3" i="1"/>
  <c r="E200" i="1"/>
  <c r="E182" i="1"/>
  <c r="E192" i="1"/>
  <c r="E181" i="1"/>
  <c r="E180" i="1"/>
  <c r="E179" i="1"/>
  <c r="E178" i="1"/>
  <c r="E135" i="1"/>
  <c r="E103" i="1"/>
  <c r="E188" i="1"/>
  <c r="E184" i="1"/>
  <c r="E151" i="1"/>
  <c r="E137" i="1"/>
  <c r="E124" i="1"/>
  <c r="E123" i="1"/>
  <c r="E122" i="1"/>
  <c r="E119" i="1"/>
  <c r="E115" i="1"/>
  <c r="E113" i="1"/>
  <c r="E111" i="1"/>
  <c r="E109" i="1"/>
  <c r="E107" i="1"/>
  <c r="E105" i="1"/>
  <c r="E101" i="1"/>
  <c r="E99" i="1"/>
  <c r="E97" i="1"/>
  <c r="E95" i="1"/>
  <c r="E93" i="1"/>
  <c r="E199" i="1"/>
  <c r="E198" i="1"/>
  <c r="E197" i="1"/>
  <c r="E196" i="1"/>
  <c r="E193" i="1"/>
  <c r="E191" i="1"/>
  <c r="E190" i="1"/>
  <c r="E189" i="1"/>
  <c r="E187" i="1"/>
  <c r="E186" i="1"/>
  <c r="E185" i="1"/>
  <c r="E183" i="1"/>
  <c r="E177" i="1"/>
  <c r="E176" i="1"/>
  <c r="E175" i="1"/>
  <c r="E174" i="1"/>
  <c r="E173" i="1"/>
  <c r="E172" i="1"/>
  <c r="E171" i="1"/>
  <c r="E150" i="1"/>
  <c r="E149" i="1"/>
  <c r="E143" i="1"/>
  <c r="E142" i="1"/>
  <c r="E141" i="1"/>
  <c r="E140" i="1"/>
  <c r="E139" i="1"/>
  <c r="E138" i="1"/>
  <c r="E136" i="1"/>
  <c r="E134" i="1"/>
  <c r="E131" i="1"/>
  <c r="E130" i="1"/>
  <c r="E120" i="1"/>
  <c r="E117" i="1"/>
  <c r="E116" i="1"/>
  <c r="E114" i="1"/>
  <c r="E112" i="1"/>
  <c r="E110" i="1"/>
  <c r="E108" i="1"/>
  <c r="E106" i="1"/>
  <c r="E104" i="1"/>
  <c r="E102" i="1"/>
  <c r="E100" i="1"/>
  <c r="E98" i="1"/>
  <c r="E96" i="1"/>
  <c r="E94" i="1"/>
  <c r="E92" i="1"/>
  <c r="E81" i="1"/>
  <c r="E80" i="1"/>
  <c r="E79" i="1"/>
  <c r="E78" i="1"/>
  <c r="E77" i="1"/>
  <c r="E76" i="1"/>
  <c r="E75" i="1"/>
  <c r="E74" i="1"/>
</calcChain>
</file>

<file path=xl/sharedStrings.xml><?xml version="1.0" encoding="utf-8"?>
<sst xmlns="http://schemas.openxmlformats.org/spreadsheetml/2006/main" count="2457" uniqueCount="801">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</sst>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66"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3" totalsRowShown="0" headerRowDxfId="110" dataDxfId="108" headerRowBorderDxfId="109" tableBorderDxfId="107">
  <autoFilter ref="A3:DB213" xr:uid="{00000000-0009-0000-0100-000002000000}"/>
  <sortState ref="A4:CT489">
    <sortCondition ref="F3:F489"/>
  </sortState>
  <tableColumns count="106">
    <tableColumn id="1" xr3:uid="{00000000-0010-0000-0000-000001000000}" name="Full_Style_Name" dataDxfId="106">
      <calculatedColumnFormula>IF($D4="","",TRIM($C4)&amp;" "&amp;CHAR(40)&amp;TRIM($D4)&amp;CHAR(41))</calculatedColumnFormula>
    </tableColumn>
    <tableColumn id="2" xr3:uid="{00000000-0010-0000-0000-000002000000}" name="Usage_Notes" dataDxfId="105"/>
    <tableColumn id="3" xr3:uid="{00000000-0010-0000-0000-000003000000}" name="Style_Name" dataDxfId="104"/>
    <tableColumn id="4" xr3:uid="{00000000-0010-0000-0000-000004000000}" name="Style_Code" dataDxfId="103"/>
    <tableColumn id="5" xr3:uid="{00000000-0010-0000-0000-000005000000}" name="NextParagraphStyle" dataDxfId="102"/>
    <tableColumn id="6" xr3:uid="{00000000-0010-0000-0000-000006000000}" name="Priority" dataDxfId="101"/>
    <tableColumn id="7" xr3:uid="{00000000-0010-0000-0000-000007000000}" name="QuickStyle" dataDxfId="100"/>
    <tableColumn id="8" xr3:uid="{00000000-0010-0000-0000-000008000000}" name="Type" dataDxfId="99"/>
    <tableColumn id="9" xr3:uid="{00000000-0010-0000-0000-000009000000}" name="Font.name" dataDxfId="98"/>
    <tableColumn id="10" xr3:uid="{00000000-0010-0000-0000-00000A000000}" name="Font.Size" dataDxfId="97"/>
    <tableColumn id="11" xr3:uid="{00000000-0010-0000-0000-00000B000000}" name="Font.Italic" dataDxfId="96"/>
    <tableColumn id="12" xr3:uid="{00000000-0010-0000-0000-00000C000000}" name="Font.Bold" dataDxfId="95"/>
    <tableColumn id="13" xr3:uid="{00000000-0010-0000-0000-00000D000000}" name="Font.TextColor" dataDxfId="94"/>
    <tableColumn id="14" xr3:uid="{00000000-0010-0000-0000-00000E000000}" name="Font.Underline" dataDxfId="93"/>
    <tableColumn id="15" xr3:uid="{00000000-0010-0000-0000-00000F000000}" name="Font.SmallCaps" dataDxfId="92"/>
    <tableColumn id="16" xr3:uid="{00000000-0010-0000-0000-000010000000}" name="Font.Superscript" dataDxfId="91"/>
    <tableColumn id="17" xr3:uid="{00000000-0010-0000-0000-000011000000}" name="Font.Subscript" dataDxfId="90"/>
    <tableColumn id="18" xr3:uid="{00000000-0010-0000-0000-000012000000}" name="Font.StrikeThrough" dataDxfId="89"/>
    <tableColumn id="19" xr3:uid="{00000000-0010-0000-0000-000013000000}" name="shortcut_keys_enabled_tf" dataDxfId="88"/>
    <tableColumn id="20" xr3:uid="{00000000-0010-0000-0000-000014000000}" name="shortcut_keys__shift_tf" dataDxfId="87"/>
    <tableColumn id="21" xr3:uid="{00000000-0010-0000-0000-000015000000}" name="shortcut_keys__control_tf" dataDxfId="86"/>
    <tableColumn id="22" xr3:uid="{00000000-0010-0000-0000-000016000000}" name="shortcut_keys__alt_tf" dataDxfId="85"/>
    <tableColumn id="23" xr3:uid="{00000000-0010-0000-0000-000017000000}" name="shortcut_keys__letter" dataDxfId="84"/>
    <tableColumn id="24" xr3:uid="{00000000-0010-0000-0000-000018000000}" name="NoSpaceBetweenParagraphsOfSameStyle" dataDxfId="83"/>
    <tableColumn id="25" xr3:uid="{00000000-0010-0000-0000-000019000000}" name="Bullet" dataDxfId="82"/>
    <tableColumn id="104" xr3:uid="{52C41320-AAE8-45BB-813C-6BC00B091A2B}" name="NumberWithDot" dataDxfId="81"/>
    <tableColumn id="105" xr3:uid="{8102D09B-8AF9-4443-8846-95E7F3544B51}" name="LowerLetterWithBracket" dataDxfId="80"/>
    <tableColumn id="26" xr3:uid="{00000000-0010-0000-0000-00001A000000}" name="Checklist" dataDxfId="79"/>
    <tableColumn id="27" xr3:uid="{00000000-0010-0000-0000-00001B000000}" name="ParagraphFormat.LeftIndent" dataDxfId="78"/>
    <tableColumn id="28" xr3:uid="{00000000-0010-0000-0000-00001C000000}" name="ParagraphFormat.RightIndent" dataDxfId="77"/>
    <tableColumn id="29" xr3:uid="{00000000-0010-0000-0000-00001D000000}" name="ParagraphFormat.SpaceBefore" dataDxfId="76"/>
    <tableColumn id="30" xr3:uid="{00000000-0010-0000-0000-00001E000000}" name="ParagraphFormat.SpaceAfter" dataDxfId="75"/>
    <tableColumn id="31" xr3:uid="{00000000-0010-0000-0000-00001F000000}" name="ParagraphFormat.LineSpacingRule" dataDxfId="74"/>
    <tableColumn id="32" xr3:uid="{00000000-0010-0000-0000-000020000000}" name="ParagraphFormat.LineSpacing" dataDxfId="73"/>
    <tableColumn id="33" xr3:uid="{00000000-0010-0000-0000-000021000000}" name="ParagraphFormat.Alignment" dataDxfId="72"/>
    <tableColumn id="34" xr3:uid="{00000000-0010-0000-0000-000022000000}" name="ParagraphFormat.FirstLineIndent" dataDxfId="71"/>
    <tableColumn id="35" xr3:uid="{00000000-0010-0000-0000-000023000000}" name="ParagraphFormat.OutlineLevel" dataDxfId="70"/>
    <tableColumn id="36" xr3:uid="{00000000-0010-0000-0000-000024000000}" name="ParagraphFormat.PageBreakBefore" dataDxfId="69"/>
    <tableColumn id="37" xr3:uid="{00000000-0010-0000-0000-000025000000}" name="ParagraphFormat.WidowControl" dataDxfId="68"/>
    <tableColumn id="38" xr3:uid="{00000000-0010-0000-0000-000026000000}" name="Borders(-1)" dataDxfId="67"/>
    <tableColumn id="39" xr3:uid="{00000000-0010-0000-0000-000027000000}" name="Borders(-1).Color" dataDxfId="66"/>
    <tableColumn id="40" xr3:uid="{00000000-0010-0000-0000-000028000000}" name="Borders(-1).LineStyle" dataDxfId="65"/>
    <tableColumn id="41" xr3:uid="{00000000-0010-0000-0000-000029000000}" name="Borders(-1).LineWidth" dataDxfId="64"/>
    <tableColumn id="42" xr3:uid="{00000000-0010-0000-0000-00002A000000}" name="Borders(-2)" dataDxfId="63"/>
    <tableColumn id="43" xr3:uid="{00000000-0010-0000-0000-00002B000000}" name="Borders(-2).Color" dataDxfId="62"/>
    <tableColumn id="44" xr3:uid="{00000000-0010-0000-0000-00002C000000}" name="Borders(-2).LineStyle" dataDxfId="61"/>
    <tableColumn id="45" xr3:uid="{00000000-0010-0000-0000-00002D000000}" name="Borders(-2).LineWidth" dataDxfId="60"/>
    <tableColumn id="46" xr3:uid="{00000000-0010-0000-0000-00002E000000}" name="Borders(-3)" dataDxfId="59"/>
    <tableColumn id="47" xr3:uid="{00000000-0010-0000-0000-00002F000000}" name="Borders(-3).Color" dataDxfId="58"/>
    <tableColumn id="48" xr3:uid="{00000000-0010-0000-0000-000030000000}" name="Borders(-3).LineStyle" dataDxfId="57"/>
    <tableColumn id="49" xr3:uid="{00000000-0010-0000-0000-000031000000}" name="Borders(-3).LineWidth" dataDxfId="56"/>
    <tableColumn id="50" xr3:uid="{00000000-0010-0000-0000-000032000000}" name="Borders(-4)" dataDxfId="55"/>
    <tableColumn id="51" xr3:uid="{00000000-0010-0000-0000-000033000000}" name="Borders(-4).Color" dataDxfId="54"/>
    <tableColumn id="52" xr3:uid="{00000000-0010-0000-0000-000034000000}" name="Borders(-4).LineStyle" dataDxfId="53"/>
    <tableColumn id="53" xr3:uid="{00000000-0010-0000-0000-000035000000}" name="Borders(-4).LineWidth" dataDxfId="52"/>
    <tableColumn id="54" xr3:uid="{00000000-0010-0000-0000-000036000000}" name="Borders.DistanceFromLeft" dataDxfId="51"/>
    <tableColumn id="55" xr3:uid="{00000000-0010-0000-0000-000037000000}" name="Borders.DistanceFromRight" dataDxfId="50"/>
    <tableColumn id="56" xr3:uid="{00000000-0010-0000-0000-000038000000}" name="Borders.DistanceFromTop" dataDxfId="49"/>
    <tableColumn id="57" xr3:uid="{00000000-0010-0000-0000-000039000000}" name="Borders.DistanceFromBottom" dataDxfId="48"/>
    <tableColumn id="58" xr3:uid="{00000000-0010-0000-0000-00003A000000}" name="ParagraphFormat.Shading.BackgroundPatternColor" dataDxfId="47"/>
    <tableColumn id="59" xr3:uid="{00000000-0010-0000-0000-00003B000000}" name="Font.Borders(1).Color" dataDxfId="46"/>
    <tableColumn id="60" xr3:uid="{00000000-0010-0000-0000-00003C000000}" name="Font.Borders(1).LineStyle" dataDxfId="45"/>
    <tableColumn id="61" xr3:uid="{00000000-0010-0000-0000-00003D000000}" name="Font.Borders(1).LineWidth" dataDxfId="44"/>
    <tableColumn id="62" xr3:uid="{00000000-0010-0000-0000-00003E000000}" name="Font.Shading.BackgroundPatternColor" dataDxfId="43"/>
    <tableColumn id="63" xr3:uid="{00000000-0010-0000-0000-00003F000000}" name="BaseStyle" dataDxfId="42"/>
    <tableColumn id="64" xr3:uid="{00000000-0010-0000-0000-000040000000}" name="ListLevelNumber" dataDxfId="41"/>
    <tableColumn id="65" xr3:uid="{00000000-0010-0000-0000-000041000000}" name="NoProofing" dataDxfId="40"/>
    <tableColumn id="66" xr3:uid="{00000000-0010-0000-0000-000042000000}" name="no_export.tag" dataDxfId="39"/>
    <tableColumn id="67" xr3:uid="{00000000-0010-0000-0000-000043000000}" name="no_export.requiredparent" dataDxfId="38"/>
    <tableColumn id="68" xr3:uid="{00000000-0010-0000-0000-000044000000}" name="no_export.toplevelparent" dataDxfId="37"/>
    <tableColumn id="69" xr3:uid="{00000000-0010-0000-0000-000045000000}" name="no_export.parentdatatype" dataDxfId="36"/>
    <tableColumn id="70" xr3:uid="{00000000-0010-0000-0000-000046000000}" name="no_export.parent" dataDxfId="35"/>
    <tableColumn id="71" xr3:uid="{00000000-0010-0000-0000-000047000000}" name="html.partheads" dataDxfId="34"/>
    <tableColumn id="72" xr3:uid="{00000000-0010-0000-0000-000048000000}" name="html.headingparas" dataDxfId="33"/>
    <tableColumn id="73" xr3:uid="{00000000-0010-0000-0000-000049000000}" name="html.extractparas" dataDxfId="32"/>
    <tableColumn id="74" xr3:uid="{00000000-0010-0000-0000-00004A000000}" name="html.epigraphparas" dataDxfId="31"/>
    <tableColumn id="75" xr3:uid="{00000000-0010-0000-0000-00004B000000}" name="html.verseparas" dataDxfId="30"/>
    <tableColumn id="100" xr3:uid="{00000000-0010-0000-0000-000064000000}" name="html.containerparas" dataDxfId="29"/>
    <tableColumn id="99" xr3:uid="{00000000-0010-0000-0000-000063000000}" name="html.containerendparas" dataDxfId="28"/>
    <tableColumn id="78" xr3:uid="{00000000-0010-0000-0000-00004E000000}" name="html.illustrationparas" dataDxfId="27"/>
    <tableColumn id="79" xr3:uid="{00000000-0010-0000-0000-00004F000000}" name="html.imageholders" dataDxfId="26"/>
    <tableColumn id="80" xr3:uid="{00000000-0010-0000-0000-000050000000}" name="html.captionparas" dataDxfId="25"/>
    <tableColumn id="81" xr3:uid="{00000000-0010-0000-0000-000051000000}" name="html.illustrationsrcparas" dataDxfId="24"/>
    <tableColumn id="82" xr3:uid="{00000000-0010-0000-0000-000052000000}" name="html.unorderedlistparaslevel1" dataDxfId="23"/>
    <tableColumn id="83" xr3:uid="{00000000-0010-0000-0000-000053000000}" name="html.orderedlistparaslevel1" dataDxfId="22"/>
    <tableColumn id="84" xr3:uid="{00000000-0010-0000-0000-000054000000}" name="html.unorderedlistparaslevel2" dataDxfId="21"/>
    <tableColumn id="85" xr3:uid="{00000000-0010-0000-0000-000055000000}" name="html.orderedlistparaslevel2" dataDxfId="20"/>
    <tableColumn id="101" xr3:uid="{00000000-0010-0000-0000-000065000000}" name="html.unorderedlistparaslevel3" dataDxfId="19"/>
    <tableColumn id="102" xr3:uid="{00000000-0010-0000-0000-000066000000}" name="html.orderedlistparaslevel3" dataDxfId="18"/>
    <tableColumn id="103" xr3:uid="{00000000-0010-0000-0000-000067000000}" name="html.listparaparas" dataDxfId="17"/>
    <tableColumn id="97" xr3:uid="{00000000-0010-0000-0000-000061000000}" name="html.chaptertitleparas" dataDxfId="16"/>
    <tableColumn id="98" xr3:uid="{00000000-0010-0000-0000-000062000000}" name="html.chapternumberparas" dataDxfId="15"/>
    <tableColumn id="86" xr3:uid="{00000000-0010-0000-0000-000056000000}" name="html.omitparas" dataDxfId="14"/>
    <tableColumn id="87" xr3:uid="{00000000-0010-0000-0000-000057000000}" name="html.versatileblockparas" dataDxfId="13"/>
    <tableColumn id="88" xr3:uid="{00000000-0010-0000-0000-000058000000}" name="html.toplevelheads.type" dataDxfId="12"/>
    <tableColumn id="93" xr3:uid="{00000000-0010-0000-0000-00005D000000}" name="html.toplevelheads.label" dataDxfId="11"/>
    <tableColumn id="107" xr3:uid="{00000000-0010-0000-0000-00006B000000}" name="html.toplevelheads.tocexclude" dataDxfId="10"/>
    <tableColumn id="89" xr3:uid="{00000000-0010-0000-0000-000059000000}" name="html.toplevelheads.class" dataDxfId="9"/>
    <tableColumn id="106" xr3:uid="{00000000-0010-0000-0000-00006A000000}" name="no_export.class" dataDxfId="8"/>
    <tableColumn id="91" xr3:uid="{00000000-0010-0000-0000-00005B000000}" name="html.legacy" dataDxfId="7"/>
    <tableColumn id="94" xr3:uid="{00000000-0010-0000-0000-00005E000000}" name="vba.sections_menu" dataDxfId="6"/>
    <tableColumn id="77" xr3:uid="{00000000-0010-0000-0000-00004D000000}" name="vba.breaks_menu" dataDxfId="5"/>
    <tableColumn id="76" xr3:uid="{00000000-0010-0000-0000-00004C000000}" name="vba.containers_menu" dataDxfId="4"/>
    <tableColumn id="96" xr3:uid="{00000000-0010-0000-0000-000060000000}" name="vba.bookmakerstyles" dataDxfId="3"/>
    <tableColumn id="92" xr3:uid="{00000000-0010-0000-0000-00005C000000}" name="vba.allowedblankparas" dataDxfId="2"/>
    <tableColumn id="95" xr3:uid="{00000000-0010-0000-0000-00005F000000}" name="vba.sectionstart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36"/>
  <sheetViews>
    <sheetView tabSelected="1" topLeftCell="A90" zoomScaleNormal="100" workbookViewId="0">
      <pane xSplit="1" topLeftCell="AB1" activePane="topRight" state="frozen"/>
      <selection pane="topRight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66" t="s">
        <v>76</v>
      </c>
      <c r="C1" s="67"/>
      <c r="D1" s="68"/>
      <c r="E1" s="69" t="s">
        <v>77</v>
      </c>
      <c r="F1" s="69"/>
      <c r="G1" s="69"/>
      <c r="H1" s="69"/>
      <c r="I1" s="70" t="s">
        <v>78</v>
      </c>
      <c r="J1" s="71"/>
      <c r="K1" s="71"/>
      <c r="L1" s="71"/>
      <c r="M1" s="71"/>
      <c r="N1" s="71"/>
      <c r="O1" s="71"/>
      <c r="P1" s="71"/>
      <c r="Q1" s="71"/>
      <c r="R1" s="72"/>
      <c r="S1" s="73" t="s">
        <v>79</v>
      </c>
      <c r="T1" s="73"/>
      <c r="U1" s="73"/>
      <c r="V1" s="73"/>
      <c r="W1" s="73"/>
      <c r="X1" s="76" t="s">
        <v>80</v>
      </c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8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4" t="s">
        <v>82</v>
      </c>
      <c r="BJ1" s="85"/>
      <c r="BK1" s="85"/>
      <c r="BL1" s="86"/>
      <c r="BM1" s="87" t="s">
        <v>88</v>
      </c>
      <c r="BN1" s="88"/>
      <c r="BO1" s="88"/>
      <c r="BP1" s="66" t="s">
        <v>293</v>
      </c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3"/>
      <c r="CW1" s="79" t="s">
        <v>320</v>
      </c>
      <c r="CX1" s="80"/>
      <c r="CY1" s="80"/>
      <c r="CZ1" s="80"/>
      <c r="DA1" s="80"/>
      <c r="DB1" s="81"/>
    </row>
    <row r="2" spans="1:106" s="4" customFormat="1" ht="93.6">
      <c r="A2" s="21" t="s">
        <v>206</v>
      </c>
      <c r="B2" s="20" t="s">
        <v>208</v>
      </c>
      <c r="C2" s="64" t="s">
        <v>331</v>
      </c>
      <c r="D2" s="65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4" t="s">
        <v>199</v>
      </c>
      <c r="T2" s="74"/>
      <c r="U2" s="74"/>
      <c r="V2" s="74"/>
      <c r="W2" s="75"/>
      <c r="X2" s="15" t="s">
        <v>57</v>
      </c>
      <c r="Y2" s="15" t="s">
        <v>57</v>
      </c>
      <c r="Z2" s="21" t="s">
        <v>790</v>
      </c>
      <c r="AA2" s="21" t="s">
        <v>791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792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61" t="s">
        <v>246</v>
      </c>
      <c r="CV2" s="27" t="s">
        <v>785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788</v>
      </c>
      <c r="AA3" s="62" t="s">
        <v>789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62" t="s">
        <v>296</v>
      </c>
      <c r="CV3" s="28" t="s">
        <v>784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07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68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60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739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787</v>
      </c>
      <c r="CU21" s="60" t="str">
        <f>"."&amp;SUBSTITUTE(SUBSTITUTE(SUBSTITUTE(SUBSTITUTE(A21, "(",""),")","")," ",""),"#","")</f>
        <v>.Section-Chapter2SCP2</v>
      </c>
      <c r="CW21" s="7" t="s">
        <v>780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60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60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 t="shared" si="0"/>
        <v>Number (Num)</v>
      </c>
      <c r="C36" s="7" t="s">
        <v>332</v>
      </c>
      <c r="D36" s="6" t="s">
        <v>333</v>
      </c>
      <c r="E36" s="5" t="s">
        <v>659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65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7">
        <v>0</v>
      </c>
      <c r="AD36" s="7">
        <v>0</v>
      </c>
      <c r="AE36" s="7">
        <v>6</v>
      </c>
      <c r="AF36" s="7">
        <v>6</v>
      </c>
      <c r="AG36" s="7">
        <v>2</v>
      </c>
      <c r="AH36" s="7">
        <v>24</v>
      </c>
      <c r="AI36" s="7">
        <v>1</v>
      </c>
      <c r="AJ36" s="7">
        <v>0</v>
      </c>
      <c r="AK36" s="5">
        <v>3</v>
      </c>
      <c r="AL36" s="7" t="b">
        <v>0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38" t="s">
        <v>739</v>
      </c>
      <c r="AT36" s="5">
        <v>2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9" t="s">
        <v>65</v>
      </c>
      <c r="BI36" s="6"/>
      <c r="BJ36" s="5"/>
      <c r="BK36" s="5"/>
      <c r="BL36" s="5"/>
      <c r="BM36" s="5" t="s">
        <v>0</v>
      </c>
      <c r="BN36" s="5">
        <v>0</v>
      </c>
      <c r="BO36" s="5" t="b">
        <v>0</v>
      </c>
      <c r="BV36" s="7" t="b">
        <v>1</v>
      </c>
      <c r="CN36" s="7" t="b">
        <v>1</v>
      </c>
      <c r="CU36" s="63" t="str">
        <f t="shared" si="1"/>
        <v>.NumberNum</v>
      </c>
    </row>
    <row r="37" spans="1:106">
      <c r="A37" s="37" t="str">
        <f t="shared" si="0"/>
        <v>Title (Ttl)</v>
      </c>
      <c r="C37" s="7" t="s">
        <v>334</v>
      </c>
      <c r="D37" s="7" t="s">
        <v>578</v>
      </c>
      <c r="E37" s="7" t="s">
        <v>426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65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7">
        <v>0</v>
      </c>
      <c r="AD37" s="7">
        <v>0</v>
      </c>
      <c r="AE37" s="7">
        <v>6</v>
      </c>
      <c r="AF37" s="7">
        <v>6</v>
      </c>
      <c r="AG37" s="7">
        <v>2</v>
      </c>
      <c r="AH37" s="7">
        <v>24</v>
      </c>
      <c r="AI37" s="7">
        <v>1</v>
      </c>
      <c r="AJ37" s="7">
        <v>0</v>
      </c>
      <c r="AK37" s="7">
        <v>3</v>
      </c>
      <c r="AL37" s="7" t="b">
        <v>0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38" t="s">
        <v>739</v>
      </c>
      <c r="AT37" s="5">
        <v>2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9" t="s">
        <v>65</v>
      </c>
      <c r="BL37" s="36"/>
      <c r="BM37" s="5" t="s">
        <v>0</v>
      </c>
      <c r="BN37" s="5">
        <v>0</v>
      </c>
      <c r="BO37" s="5" t="b">
        <v>0</v>
      </c>
      <c r="BV37" s="7" t="b">
        <v>1</v>
      </c>
      <c r="CM37" s="7" t="b">
        <v>1</v>
      </c>
      <c r="CU37" s="63" t="str">
        <f t="shared" si="1"/>
        <v>.TitleTtl</v>
      </c>
    </row>
    <row r="38" spans="1:106">
      <c r="A38" s="37" t="str">
        <f t="shared" si="0"/>
        <v>Main-Head (MHead)</v>
      </c>
      <c r="C38" s="7" t="s">
        <v>335</v>
      </c>
      <c r="D38" s="7" t="s">
        <v>623</v>
      </c>
      <c r="E38" s="7" t="s">
        <v>426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7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L38" s="36"/>
      <c r="BM38" s="5" t="s">
        <v>0</v>
      </c>
      <c r="BN38" s="5">
        <v>0</v>
      </c>
      <c r="BO38" s="5" t="b">
        <v>0</v>
      </c>
      <c r="BV38" s="7" t="b">
        <v>1</v>
      </c>
      <c r="CU38" s="63" t="str">
        <f t="shared" si="1"/>
        <v>.Main-HeadMHead</v>
      </c>
    </row>
    <row r="39" spans="1:106">
      <c r="A39" s="37" t="str">
        <f t="shared" si="0"/>
        <v>Subtitle (Sttl)</v>
      </c>
      <c r="C39" s="7" t="s">
        <v>336</v>
      </c>
      <c r="D39" s="7" t="s">
        <v>579</v>
      </c>
      <c r="E39" s="7" t="s">
        <v>426</v>
      </c>
      <c r="F39" s="5">
        <v>1</v>
      </c>
      <c r="G39" s="7" t="b">
        <v>0</v>
      </c>
      <c r="H39" s="5">
        <v>1</v>
      </c>
      <c r="I39" s="5" t="s">
        <v>66</v>
      </c>
      <c r="J39" s="5">
        <v>18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10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CU39" s="63" t="str">
        <f t="shared" si="1"/>
        <v>.SubtitleSttl</v>
      </c>
    </row>
    <row r="40" spans="1:106">
      <c r="A40" s="37" t="str">
        <f t="shared" si="0"/>
        <v>Author1 (Au1)</v>
      </c>
      <c r="C40" s="7" t="s">
        <v>431</v>
      </c>
      <c r="D40" s="7" t="s">
        <v>433</v>
      </c>
      <c r="E40" s="7" t="s">
        <v>426</v>
      </c>
      <c r="F40" s="5">
        <v>1</v>
      </c>
      <c r="G40" s="7" t="b">
        <v>0</v>
      </c>
      <c r="H40" s="5">
        <v>1</v>
      </c>
      <c r="I40" s="5" t="s">
        <v>66</v>
      </c>
      <c r="J40" s="5">
        <v>14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10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CU40" s="63" t="str">
        <f t="shared" si="1"/>
        <v>.Author1Au1</v>
      </c>
    </row>
    <row r="41" spans="1:106">
      <c r="A41" s="37" t="str">
        <f t="shared" si="0"/>
        <v>Author2 (Au2)</v>
      </c>
      <c r="C41" s="7" t="s">
        <v>432</v>
      </c>
      <c r="D41" s="7" t="s">
        <v>434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14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>"."&amp;SUBSTITUTE(SUBSTITUTE(SUBSTITUTE(SUBSTITUTE(A41, "(",""),")","")," ",""),"#","")</f>
        <v>.Author2Au2</v>
      </c>
    </row>
    <row r="42" spans="1:106">
      <c r="A42" s="37" t="str">
        <f>IF($D42="","",TRIM($C42)&amp;" "&amp;CHAR(40)&amp;TRIM($D42)&amp;CHAR(41))</f>
        <v>Author3 (Au3)</v>
      </c>
      <c r="C42" s="7" t="s">
        <v>558</v>
      </c>
      <c r="D42" s="7" t="s">
        <v>559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.Author3Au3</v>
      </c>
    </row>
    <row r="43" spans="1:106">
      <c r="A43" s="37" t="str">
        <f t="shared" si="0"/>
        <v>A-Head (Ahead)</v>
      </c>
      <c r="C43" s="7" t="s">
        <v>338</v>
      </c>
      <c r="D43" s="7" t="s">
        <v>580</v>
      </c>
      <c r="E43" s="7" t="s">
        <v>426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0</v>
      </c>
      <c r="AJ43" s="7">
        <v>0</v>
      </c>
      <c r="AK43" s="7">
        <v>4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 t="shared" si="1"/>
        <v>.A-HeadAhead</v>
      </c>
    </row>
    <row r="44" spans="1:106">
      <c r="A44" s="37" t="str">
        <f t="shared" si="0"/>
        <v>B-Head (Bhead)</v>
      </c>
      <c r="C44" s="7" t="s">
        <v>339</v>
      </c>
      <c r="D44" s="7" t="s">
        <v>581</v>
      </c>
      <c r="E44" s="7" t="s">
        <v>426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0</v>
      </c>
      <c r="AJ44" s="7">
        <v>0</v>
      </c>
      <c r="AK44" s="7">
        <v>5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.B-HeadBhead</v>
      </c>
    </row>
    <row r="45" spans="1:106">
      <c r="A45" s="37" t="str">
        <f t="shared" si="0"/>
        <v>C-Head (Chead)</v>
      </c>
      <c r="C45" s="7" t="s">
        <v>340</v>
      </c>
      <c r="D45" s="7" t="s">
        <v>582</v>
      </c>
      <c r="E45" s="7" t="s">
        <v>426</v>
      </c>
      <c r="F45" s="5">
        <v>1</v>
      </c>
      <c r="G45" s="7" t="b">
        <v>0</v>
      </c>
      <c r="H45" s="5">
        <v>1</v>
      </c>
      <c r="I45" s="5" t="s">
        <v>67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6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.C-HeadChead</v>
      </c>
    </row>
    <row r="46" spans="1:106">
      <c r="A46" s="37" t="str">
        <f t="shared" si="0"/>
        <v>D-Head (Dhead)</v>
      </c>
      <c r="C46" s="7" t="s">
        <v>341</v>
      </c>
      <c r="D46" s="7" t="s">
        <v>583</v>
      </c>
      <c r="E46" s="7" t="s">
        <v>426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7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.D-HeadDhead</v>
      </c>
    </row>
    <row r="47" spans="1:106">
      <c r="A47" s="37" t="str">
        <f t="shared" si="0"/>
        <v>E-Head (Ehead)</v>
      </c>
      <c r="C47" s="7" t="s">
        <v>342</v>
      </c>
      <c r="D47" s="7" t="s">
        <v>584</v>
      </c>
      <c r="E47" s="7" t="s">
        <v>426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8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.E-HeadEhead</v>
      </c>
    </row>
    <row r="48" spans="1:106">
      <c r="A48" s="37" t="str">
        <f t="shared" si="0"/>
        <v>F-Head (Fhead)</v>
      </c>
      <c r="C48" s="7" t="s">
        <v>343</v>
      </c>
      <c r="D48" s="7" t="s">
        <v>585</v>
      </c>
      <c r="E48" s="7" t="s">
        <v>426</v>
      </c>
      <c r="F48" s="5">
        <v>1</v>
      </c>
      <c r="G48" s="7" t="b">
        <v>0</v>
      </c>
      <c r="H48" s="5">
        <v>1</v>
      </c>
      <c r="I48" s="5" t="s">
        <v>67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9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.F-HeadFhead</v>
      </c>
    </row>
    <row r="49" spans="1:104">
      <c r="A49" s="37" t="str">
        <f t="shared" si="0"/>
        <v>Body-Text (Tx)</v>
      </c>
      <c r="C49" s="7" t="s">
        <v>344</v>
      </c>
      <c r="D49" s="7" t="s">
        <v>345</v>
      </c>
      <c r="E49" s="7" t="s">
        <v>426</v>
      </c>
      <c r="F49" s="5">
        <v>1</v>
      </c>
      <c r="G49" s="7" t="b">
        <v>1</v>
      </c>
      <c r="H49" s="5">
        <v>1</v>
      </c>
      <c r="I49" s="5" t="s">
        <v>66</v>
      </c>
      <c r="J49" s="5">
        <v>12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36</v>
      </c>
      <c r="AK49" s="7">
        <v>10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739</v>
      </c>
      <c r="AT49" s="5">
        <v>1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.Body-TextTx</v>
      </c>
      <c r="CZ49" s="7" t="b">
        <v>1</v>
      </c>
    </row>
    <row r="50" spans="1:104">
      <c r="A50" s="37" t="str">
        <f t="shared" si="0"/>
        <v>Body-Text-Continued (Txc)</v>
      </c>
      <c r="C50" s="7" t="s">
        <v>346</v>
      </c>
      <c r="D50" s="7" t="s">
        <v>347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66</v>
      </c>
      <c r="J50" s="5">
        <v>12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10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739</v>
      </c>
      <c r="AT50" s="5">
        <v>1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.Body-Text-ContinuedTxc</v>
      </c>
    </row>
    <row r="51" spans="1:104">
      <c r="A51" s="37" t="str">
        <f t="shared" si="0"/>
        <v>Body-Text2 (Tx2)</v>
      </c>
      <c r="C51" s="7" t="s">
        <v>749</v>
      </c>
      <c r="D51" s="7" t="s">
        <v>750</v>
      </c>
      <c r="E51" s="7" t="s">
        <v>753</v>
      </c>
      <c r="F51" s="5">
        <v>1</v>
      </c>
      <c r="G51" s="7" t="b">
        <v>1</v>
      </c>
      <c r="H51" s="5">
        <v>1</v>
      </c>
      <c r="I51" s="5" t="s">
        <v>1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739</v>
      </c>
      <c r="AT51" s="5">
        <v>7</v>
      </c>
      <c r="AU51" s="7">
        <v>24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.Body-Text2Tx2</v>
      </c>
      <c r="CZ51" s="7" t="b">
        <v>1</v>
      </c>
    </row>
    <row r="52" spans="1:104">
      <c r="A52" s="37" t="str">
        <f t="shared" si="0"/>
        <v>Body-Text2-Continued (Tx2c)</v>
      </c>
      <c r="C52" s="7" t="s">
        <v>751</v>
      </c>
      <c r="D52" s="7" t="s">
        <v>752</v>
      </c>
      <c r="E52" s="7" t="s">
        <v>753</v>
      </c>
      <c r="F52" s="5">
        <v>1</v>
      </c>
      <c r="G52" s="7" t="b">
        <v>0</v>
      </c>
      <c r="H52" s="5">
        <v>1</v>
      </c>
      <c r="I52" s="5" t="s">
        <v>1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739</v>
      </c>
      <c r="AT52" s="5">
        <v>7</v>
      </c>
      <c r="AU52" s="7">
        <v>24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.Body-Text2-ContinuedTx2c</v>
      </c>
    </row>
    <row r="53" spans="1:104">
      <c r="A53" s="37" t="str">
        <f t="shared" si="0"/>
        <v>Verse-Head (Vhead)</v>
      </c>
      <c r="C53" s="7" t="s">
        <v>793</v>
      </c>
      <c r="D53" s="7" t="s">
        <v>794</v>
      </c>
      <c r="E53" s="7" t="s">
        <v>451</v>
      </c>
      <c r="F53" s="5">
        <v>1</v>
      </c>
      <c r="G53" s="7" t="b">
        <v>0</v>
      </c>
      <c r="H53" s="5">
        <v>1</v>
      </c>
      <c r="I53" s="5" t="s">
        <v>67</v>
      </c>
      <c r="J53" s="5">
        <v>14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0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36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0</v>
      </c>
      <c r="AK53" s="7">
        <v>6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739</v>
      </c>
      <c r="AT53" s="5">
        <v>1</v>
      </c>
      <c r="AU53" s="7">
        <v>36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BY53" s="7" t="b">
        <v>1</v>
      </c>
      <c r="CU53" s="63" t="str">
        <f t="shared" si="1"/>
        <v>.Verse-HeadVhead</v>
      </c>
    </row>
    <row r="54" spans="1:104">
      <c r="A54" s="37" t="str">
        <f t="shared" si="0"/>
        <v>Verse1 (Vrs1)</v>
      </c>
      <c r="C54" s="7" t="s">
        <v>435</v>
      </c>
      <c r="D54" s="7" t="s">
        <v>439</v>
      </c>
      <c r="E54" s="7" t="s">
        <v>451</v>
      </c>
      <c r="F54" s="5">
        <v>1</v>
      </c>
      <c r="G54" s="7" t="b">
        <v>1</v>
      </c>
      <c r="H54" s="5">
        <v>1</v>
      </c>
      <c r="I54" s="5" t="s">
        <v>66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36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739</v>
      </c>
      <c r="AT54" s="5">
        <v>1</v>
      </c>
      <c r="AU54" s="7">
        <v>36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BY54" s="7" t="b">
        <v>1</v>
      </c>
      <c r="CU54" s="63" t="str">
        <f t="shared" si="1"/>
        <v>.Verse1Vrs1</v>
      </c>
    </row>
    <row r="55" spans="1:104">
      <c r="A55" s="37" t="str">
        <f t="shared" si="0"/>
        <v>Verse1-indent1 (Vrs1-i1)</v>
      </c>
      <c r="C55" s="7" t="s">
        <v>436</v>
      </c>
      <c r="D55" s="7" t="s">
        <v>440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66</v>
      </c>
      <c r="J55" s="5">
        <v>12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72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10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.Verse1-indent1Vrs1-i1</v>
      </c>
    </row>
    <row r="56" spans="1:104">
      <c r="A56" s="37" t="str">
        <f t="shared" si="0"/>
        <v>Verse1-indent2 (Vrs1-i2)</v>
      </c>
      <c r="C56" s="7" t="s">
        <v>437</v>
      </c>
      <c r="D56" s="7" t="s">
        <v>441</v>
      </c>
      <c r="E56" s="7" t="s">
        <v>451</v>
      </c>
      <c r="F56" s="5">
        <v>1</v>
      </c>
      <c r="G56" s="7" t="b">
        <v>0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108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.Verse1-indent2Vrs1-i2</v>
      </c>
    </row>
    <row r="57" spans="1:104">
      <c r="A57" s="37" t="str">
        <f t="shared" si="0"/>
        <v>Verse1-indent3 (Vrs1-i3)</v>
      </c>
      <c r="C57" s="7" t="s">
        <v>438</v>
      </c>
      <c r="D57" s="7" t="s">
        <v>442</v>
      </c>
      <c r="E57" s="7" t="s">
        <v>451</v>
      </c>
      <c r="F57" s="5">
        <v>1</v>
      </c>
      <c r="G57" s="7" t="b">
        <v>0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144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.Verse1-indent3Vrs1-i3</v>
      </c>
    </row>
    <row r="58" spans="1:104">
      <c r="A58" s="37" t="str">
        <f t="shared" si="0"/>
        <v>Verse2 (Vrs2)</v>
      </c>
      <c r="C58" s="7" t="s">
        <v>443</v>
      </c>
      <c r="D58" s="7" t="s">
        <v>444</v>
      </c>
      <c r="E58" s="7" t="s">
        <v>452</v>
      </c>
      <c r="F58" s="5">
        <v>1</v>
      </c>
      <c r="G58" s="7" t="b">
        <v>1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36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739</v>
      </c>
      <c r="AT58" s="5">
        <v>7</v>
      </c>
      <c r="AU58" s="7">
        <v>18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.Verse2Vrs2</v>
      </c>
    </row>
    <row r="59" spans="1:104">
      <c r="A59" s="37" t="str">
        <f t="shared" si="0"/>
        <v>Verse2-indent1 (Vrs2-i1)</v>
      </c>
      <c r="C59" s="7" t="s">
        <v>445</v>
      </c>
      <c r="D59" s="7" t="s">
        <v>448</v>
      </c>
      <c r="E59" s="7" t="s">
        <v>452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72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739</v>
      </c>
      <c r="AT59" s="5">
        <v>7</v>
      </c>
      <c r="AU59" s="7">
        <v>18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.Verse2-indent1Vrs2-i1</v>
      </c>
    </row>
    <row r="60" spans="1:104">
      <c r="A60" s="37" t="str">
        <f t="shared" si="0"/>
        <v>Verse2-indent2 (Vrs2-i2)</v>
      </c>
      <c r="C60" s="7" t="s">
        <v>446</v>
      </c>
      <c r="D60" s="7" t="s">
        <v>449</v>
      </c>
      <c r="E60" s="7" t="s">
        <v>452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108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739</v>
      </c>
      <c r="AT60" s="5">
        <v>7</v>
      </c>
      <c r="AU60" s="7">
        <v>18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si="1"/>
        <v>.Verse2-indent2Vrs2-i2</v>
      </c>
    </row>
    <row r="61" spans="1:104">
      <c r="A61" s="37" t="str">
        <f t="shared" si="0"/>
        <v>Verse2-indent3 (Vrs2-i3)</v>
      </c>
      <c r="C61" s="7" t="s">
        <v>447</v>
      </c>
      <c r="D61" s="7" t="s">
        <v>450</v>
      </c>
      <c r="E61" s="7" t="s">
        <v>452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144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739</v>
      </c>
      <c r="AT61" s="5">
        <v>7</v>
      </c>
      <c r="AU61" s="7">
        <v>18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3" t="str">
        <f t="shared" si="1"/>
        <v>.Verse2-indent3Vrs2-i3</v>
      </c>
    </row>
    <row r="62" spans="1:104">
      <c r="A62" s="37" t="str">
        <f t="shared" si="0"/>
        <v>Verse-Source (Vsrc)</v>
      </c>
      <c r="C62" s="7" t="s">
        <v>795</v>
      </c>
      <c r="D62" s="7" t="s">
        <v>796</v>
      </c>
      <c r="E62" s="7" t="s">
        <v>426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2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3" t="str">
        <f t="shared" ref="CU62" si="2">"."&amp;SUBSTITUTE(SUBSTITUTE(SUBSTITUTE(SUBSTITUTE(A62, "(",""),")","")," ",""),"#","")</f>
        <v>.Verse-SourceVsrc</v>
      </c>
    </row>
    <row r="63" spans="1:104">
      <c r="A63" s="37" t="str">
        <f t="shared" si="0"/>
        <v>Quotation (Quo)</v>
      </c>
      <c r="C63" s="7" t="s">
        <v>348</v>
      </c>
      <c r="D63" s="7" t="s">
        <v>562</v>
      </c>
      <c r="E63" s="7" t="s">
        <v>563</v>
      </c>
      <c r="F63" s="5">
        <v>1</v>
      </c>
      <c r="G63" s="7" t="b">
        <v>0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36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739</v>
      </c>
      <c r="AT63" s="5">
        <v>1</v>
      </c>
      <c r="AU63" s="7">
        <v>36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CU63" s="63" t="str">
        <f t="shared" si="1"/>
        <v>.QuotationQuo</v>
      </c>
    </row>
    <row r="64" spans="1:104">
      <c r="A64" s="37" t="str">
        <f t="shared" si="0"/>
        <v>Extract1 (Ext1)</v>
      </c>
      <c r="C64" s="7" t="s">
        <v>453</v>
      </c>
      <c r="D64" s="7" t="s">
        <v>454</v>
      </c>
      <c r="E64" s="7" t="s">
        <v>457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36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739</v>
      </c>
      <c r="AT64" s="5">
        <v>1</v>
      </c>
      <c r="AU64" s="7">
        <v>36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W64" s="7" t="b">
        <v>1</v>
      </c>
      <c r="CU64" s="63" t="str">
        <f t="shared" si="1"/>
        <v>.Extract1Ext1</v>
      </c>
    </row>
    <row r="65" spans="1:99">
      <c r="A65" s="37" t="str">
        <f t="shared" si="0"/>
        <v>Extract2 (Ext2)</v>
      </c>
      <c r="C65" s="7" t="s">
        <v>455</v>
      </c>
      <c r="D65" s="7" t="s">
        <v>456</v>
      </c>
      <c r="E65" s="7" t="s">
        <v>458</v>
      </c>
      <c r="F65" s="5">
        <v>1</v>
      </c>
      <c r="G65" s="7" t="b">
        <v>1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36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36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W65" s="7" t="b">
        <v>1</v>
      </c>
      <c r="CU65" s="63" t="str">
        <f t="shared" si="1"/>
        <v>.Extract2Ext2</v>
      </c>
    </row>
    <row r="66" spans="1:99">
      <c r="A66" s="37" t="str">
        <f t="shared" si="0"/>
        <v>Extract3 (Ext3)</v>
      </c>
      <c r="C66" s="7" t="s">
        <v>743</v>
      </c>
      <c r="D66" s="7" t="s">
        <v>745</v>
      </c>
      <c r="E66" s="7" t="s">
        <v>747</v>
      </c>
      <c r="F66" s="5">
        <v>1</v>
      </c>
      <c r="G66" s="7" t="b">
        <v>1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36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36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739</v>
      </c>
      <c r="AT66" s="5">
        <v>8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W66" s="7" t="b">
        <v>1</v>
      </c>
      <c r="CU66" s="63" t="str">
        <f t="shared" si="1"/>
        <v>.Extract3Ext3</v>
      </c>
    </row>
    <row r="67" spans="1:99">
      <c r="A67" s="37" t="str">
        <f t="shared" si="0"/>
        <v>Extract4 (Ext4)</v>
      </c>
      <c r="C67" s="7" t="s">
        <v>744</v>
      </c>
      <c r="D67" s="7" t="s">
        <v>746</v>
      </c>
      <c r="E67" s="7" t="s">
        <v>748</v>
      </c>
      <c r="F67" s="5">
        <v>1</v>
      </c>
      <c r="G67" s="7" t="b">
        <v>1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36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36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739</v>
      </c>
      <c r="AT67" s="5">
        <v>12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W67" s="7" t="b">
        <v>1</v>
      </c>
      <c r="CU67" s="63" t="str">
        <f t="shared" si="1"/>
        <v>.Extract4Ext4</v>
      </c>
    </row>
    <row r="68" spans="1:99">
      <c r="A68" s="37" t="str">
        <f t="shared" si="0"/>
        <v>Source (Src)</v>
      </c>
      <c r="C68" s="7" t="s">
        <v>349</v>
      </c>
      <c r="D68" s="7" t="s">
        <v>350</v>
      </c>
      <c r="E68" s="7" t="s">
        <v>426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2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739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CU68" s="63" t="str">
        <f t="shared" si="1"/>
        <v>.SourceSrc</v>
      </c>
    </row>
    <row r="69" spans="1:99">
      <c r="A69" s="37" t="str">
        <f t="shared" si="0"/>
        <v>Epigraph-Non-Verse (Epi)</v>
      </c>
      <c r="C69" s="7" t="s">
        <v>459</v>
      </c>
      <c r="D69" s="7" t="s">
        <v>460</v>
      </c>
      <c r="E69" s="7" t="s">
        <v>461</v>
      </c>
      <c r="F69" s="5">
        <v>1</v>
      </c>
      <c r="G69" s="7" t="b">
        <v>1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36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739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X69" s="7" t="b">
        <v>1</v>
      </c>
      <c r="CU69" s="63" t="str">
        <f t="shared" ref="CU69:CU134" si="3">"."&amp;SUBSTITUTE(SUBSTITUTE(SUBSTITUTE(SUBSTITUTE(A69, "(",""),")","")," ",""),"#","")</f>
        <v>.Epigraph-Non-VerseEpi</v>
      </c>
    </row>
    <row r="70" spans="1:99">
      <c r="A70" s="37" t="str">
        <f t="shared" si="0"/>
        <v>Epigraph-Verse (Epiv)</v>
      </c>
      <c r="C70" s="7" t="s">
        <v>462</v>
      </c>
      <c r="D70" s="7" t="s">
        <v>463</v>
      </c>
      <c r="E70" s="7" t="s">
        <v>464</v>
      </c>
      <c r="F70" s="5">
        <v>1</v>
      </c>
      <c r="G70" s="7" t="b">
        <v>1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0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X70" s="7" t="b">
        <v>1</v>
      </c>
      <c r="CU70" s="63" t="str">
        <f t="shared" si="3"/>
        <v>.Epigraph-VerseEpiv</v>
      </c>
    </row>
    <row r="71" spans="1:99">
      <c r="A71" s="37" t="str">
        <f t="shared" si="0"/>
        <v>Epigraph-Source (Episrc)</v>
      </c>
      <c r="C71" s="7" t="s">
        <v>465</v>
      </c>
      <c r="D71" s="7" t="s">
        <v>692</v>
      </c>
      <c r="E71" s="7" t="s">
        <v>426</v>
      </c>
      <c r="F71" s="5">
        <v>1</v>
      </c>
      <c r="G71" s="7" t="b">
        <v>1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2</v>
      </c>
      <c r="AJ71" s="7">
        <v>0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BX71" s="7" t="b">
        <v>1</v>
      </c>
      <c r="CU71" s="63" t="str">
        <f t="shared" si="3"/>
        <v>.Epigraph-SourceEpisrc</v>
      </c>
    </row>
    <row r="72" spans="1:99">
      <c r="A72" s="37" t="str">
        <f t="shared" si="0"/>
        <v>Headnote (Hdnt)</v>
      </c>
      <c r="C72" s="7" t="s">
        <v>337</v>
      </c>
      <c r="D72" s="7" t="s">
        <v>586</v>
      </c>
      <c r="E72" s="7" t="s">
        <v>426</v>
      </c>
      <c r="F72" s="5">
        <v>1</v>
      </c>
      <c r="G72" s="7" t="b">
        <v>0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0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1</v>
      </c>
      <c r="AJ72" s="7">
        <v>36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CU72" s="63" t="str">
        <f t="shared" si="3"/>
        <v>.HeadnoteHdnt</v>
      </c>
    </row>
    <row r="73" spans="1:99">
      <c r="A73" s="37" t="str">
        <f t="shared" si="0"/>
        <v>Dateline (Date)</v>
      </c>
      <c r="C73" s="7" t="s">
        <v>351</v>
      </c>
      <c r="D73" s="7" t="s">
        <v>352</v>
      </c>
      <c r="E73" s="7" t="s">
        <v>577</v>
      </c>
      <c r="F73" s="5">
        <v>1</v>
      </c>
      <c r="G73" s="7" t="b">
        <v>0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0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0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CU73" s="63" t="str">
        <f t="shared" si="3"/>
        <v>.DatelineDate</v>
      </c>
    </row>
    <row r="74" spans="1:99">
      <c r="A74" s="37" t="str">
        <f t="shared" si="0"/>
        <v>Address (Add)</v>
      </c>
      <c r="C74" s="7" t="s">
        <v>202</v>
      </c>
      <c r="D74" s="7" t="s">
        <v>353</v>
      </c>
      <c r="E74" s="37" t="str">
        <f t="shared" ref="E74:E124" si="4">IF($D74="","",TRIM($C74)&amp;" "&amp;CHAR(40)&amp;TRIM($D74)&amp;CHAR(41))</f>
        <v>Address (Add)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0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739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3"/>
        <v>.AddressAdd</v>
      </c>
    </row>
    <row r="75" spans="1:99">
      <c r="A75" s="37" t="str">
        <f t="shared" si="0"/>
        <v>Location (Loc)</v>
      </c>
      <c r="C75" s="7" t="s">
        <v>354</v>
      </c>
      <c r="D75" s="7" t="s">
        <v>355</v>
      </c>
      <c r="E75" s="37" t="str">
        <f t="shared" si="4"/>
        <v>Location (Loc)</v>
      </c>
      <c r="F75" s="5">
        <v>1</v>
      </c>
      <c r="G75" s="7" t="b">
        <v>0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0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0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739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CU75" s="63" t="str">
        <f t="shared" si="3"/>
        <v>.LocationLoc</v>
      </c>
    </row>
    <row r="76" spans="1:99">
      <c r="A76" s="37" t="str">
        <f t="shared" si="0"/>
        <v>Signature (Sig)</v>
      </c>
      <c r="C76" s="7" t="s">
        <v>356</v>
      </c>
      <c r="D76" s="7" t="s">
        <v>357</v>
      </c>
      <c r="E76" s="37" t="str">
        <f t="shared" si="4"/>
        <v>Signature (Sig)</v>
      </c>
      <c r="F76" s="5">
        <v>1</v>
      </c>
      <c r="G76" s="7" t="b">
        <v>0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0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2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739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CU76" s="63" t="str">
        <f t="shared" si="3"/>
        <v>.SignatureSig</v>
      </c>
    </row>
    <row r="77" spans="1:99">
      <c r="A77" s="37" t="str">
        <f t="shared" si="0"/>
        <v>Salutation (Sal)</v>
      </c>
      <c r="C77" s="7" t="s">
        <v>358</v>
      </c>
      <c r="D77" s="7" t="s">
        <v>359</v>
      </c>
      <c r="E77" s="37" t="str">
        <f t="shared" si="4"/>
        <v>Salutation (Sal)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0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0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0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3" t="str">
        <f t="shared" si="3"/>
        <v>.SalutationSal</v>
      </c>
    </row>
    <row r="78" spans="1:99">
      <c r="A78" s="37" t="str">
        <f t="shared" si="0"/>
        <v>Closing (Clos)</v>
      </c>
      <c r="C78" s="7" t="s">
        <v>360</v>
      </c>
      <c r="D78" s="7" t="s">
        <v>587</v>
      </c>
      <c r="E78" s="37" t="str">
        <f t="shared" si="4"/>
        <v>Closing (Clos)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2</v>
      </c>
      <c r="AJ78" s="7">
        <v>0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3"/>
        <v>.ClosingClos</v>
      </c>
    </row>
    <row r="79" spans="1:99">
      <c r="A79" s="37" t="str">
        <f t="shared" si="0"/>
        <v>Postscript (Pst)</v>
      </c>
      <c r="C79" s="7" t="s">
        <v>361</v>
      </c>
      <c r="D79" s="7" t="s">
        <v>362</v>
      </c>
      <c r="E79" s="37" t="str">
        <f t="shared" si="4"/>
        <v>Postscript (Pst)</v>
      </c>
      <c r="F79" s="5">
        <v>1</v>
      </c>
      <c r="G79" s="7" t="b">
        <v>0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0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3"/>
        <v>.PostscriptPst</v>
      </c>
    </row>
    <row r="80" spans="1:99">
      <c r="A80" s="37" t="str">
        <f t="shared" si="0"/>
        <v>Dedication (Ded)</v>
      </c>
      <c r="C80" s="7" t="s">
        <v>204</v>
      </c>
      <c r="D80" s="7" t="s">
        <v>363</v>
      </c>
      <c r="E80" s="37" t="str">
        <f t="shared" si="4"/>
        <v>Dedication (Ded)</v>
      </c>
      <c r="F80" s="5">
        <v>1</v>
      </c>
      <c r="G80" s="7" t="b">
        <v>0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0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0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1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3"/>
        <v>.DedicationDed</v>
      </c>
    </row>
    <row r="81" spans="1:99">
      <c r="A81" s="37" t="str">
        <f t="shared" si="0"/>
        <v>Text-Message (Tmg)</v>
      </c>
      <c r="C81" s="7" t="s">
        <v>364</v>
      </c>
      <c r="D81" s="7" t="s">
        <v>365</v>
      </c>
      <c r="E81" s="37" t="str">
        <f t="shared" si="4"/>
        <v>Text-Message (Tmg)</v>
      </c>
      <c r="F81" s="5">
        <v>1</v>
      </c>
      <c r="G81" s="7" t="b">
        <v>0</v>
      </c>
      <c r="H81" s="5">
        <v>1</v>
      </c>
      <c r="I81" s="5" t="s">
        <v>71</v>
      </c>
      <c r="J81" s="5">
        <v>11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36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3"/>
        <v>.Text-MessageTmg</v>
      </c>
    </row>
    <row r="82" spans="1:99">
      <c r="A82" s="37" t="str">
        <f t="shared" si="0"/>
        <v>Computer-Text (Comp)</v>
      </c>
      <c r="C82" s="7" t="s">
        <v>466</v>
      </c>
      <c r="D82" s="7" t="s">
        <v>467</v>
      </c>
      <c r="E82" s="37" t="s">
        <v>468</v>
      </c>
      <c r="F82" s="5">
        <v>1</v>
      </c>
      <c r="G82" s="7" t="b">
        <v>0</v>
      </c>
      <c r="H82" s="5">
        <v>1</v>
      </c>
      <c r="I82" s="5" t="s">
        <v>71</v>
      </c>
      <c r="J82" s="5">
        <v>11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36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3"/>
        <v>.Computer-TextComp</v>
      </c>
    </row>
    <row r="83" spans="1:99">
      <c r="A83" s="37" t="str">
        <f t="shared" si="0"/>
        <v>Custom1 (Cust1)</v>
      </c>
      <c r="C83" s="7" t="s">
        <v>553</v>
      </c>
      <c r="D83" s="7" t="s">
        <v>556</v>
      </c>
      <c r="E83" s="37" t="s">
        <v>560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3"/>
        <v>.Custom1Cust1</v>
      </c>
    </row>
    <row r="84" spans="1:99">
      <c r="A84" s="37" t="str">
        <f t="shared" si="0"/>
        <v>Custom2 (Cust2)</v>
      </c>
      <c r="C84" s="7" t="s">
        <v>554</v>
      </c>
      <c r="D84" s="7" t="s">
        <v>555</v>
      </c>
      <c r="E84" s="37" t="s">
        <v>561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739</v>
      </c>
      <c r="AT84" s="5">
        <v>7</v>
      </c>
      <c r="AU84" s="7">
        <v>18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3"/>
        <v>.Custom2Cust2</v>
      </c>
    </row>
    <row r="85" spans="1:99">
      <c r="A85" s="37" t="str">
        <f t="shared" si="0"/>
        <v>Display1 (Disp1)</v>
      </c>
      <c r="C85" s="7" t="s">
        <v>469</v>
      </c>
      <c r="D85" s="7" t="s">
        <v>470</v>
      </c>
      <c r="E85" s="37" t="s">
        <v>471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3"/>
        <v>.Display1Disp1</v>
      </c>
    </row>
    <row r="86" spans="1:99">
      <c r="A86" s="37" t="str">
        <f t="shared" si="0"/>
        <v>Display2 (Disp2)</v>
      </c>
      <c r="C86" s="7" t="s">
        <v>472</v>
      </c>
      <c r="D86" s="7" t="s">
        <v>473</v>
      </c>
      <c r="E86" s="37" t="s">
        <v>474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739</v>
      </c>
      <c r="AT86" s="5">
        <v>7</v>
      </c>
      <c r="AU86" s="7">
        <v>18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3"/>
        <v>.Display2Disp2</v>
      </c>
    </row>
    <row r="87" spans="1:99">
      <c r="A87" s="37" t="str">
        <f>IF($D87="","",TRIM($C87)&amp;" "&amp;CHAR(40)&amp;TRIM($D87)&amp;CHAR(41))</f>
        <v>Table-Head (Tbhd)</v>
      </c>
      <c r="C87" s="7" t="s">
        <v>475</v>
      </c>
      <c r="D87" s="7" t="s">
        <v>476</v>
      </c>
      <c r="E87" s="37" t="s">
        <v>477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1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3"/>
        <v>.Table-HeadTbhd</v>
      </c>
    </row>
    <row r="88" spans="1:99">
      <c r="A88" s="37" t="str">
        <f>IF($D88="","",TRIM($C88)&amp;" "&amp;CHAR(40)&amp;TRIM($D88)&amp;CHAR(41))</f>
        <v>Table-Subhead (Tbsbhd)</v>
      </c>
      <c r="C88" s="7" t="s">
        <v>478</v>
      </c>
      <c r="D88" s="7" t="s">
        <v>479</v>
      </c>
      <c r="E88" s="37" t="s">
        <v>477</v>
      </c>
      <c r="F88" s="5">
        <v>1</v>
      </c>
      <c r="G88" s="7" t="b">
        <v>0</v>
      </c>
      <c r="H88" s="5">
        <v>1</v>
      </c>
      <c r="I88" s="5" t="s">
        <v>1</v>
      </c>
      <c r="J88" s="5">
        <v>11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3"/>
        <v>.Table-SubheadTbsbhd</v>
      </c>
    </row>
    <row r="89" spans="1:99">
      <c r="A89" s="37" t="str">
        <f>IF($D89="","",TRIM($C89)&amp;" "&amp;CHAR(40)&amp;TRIM($D89)&amp;CHAR(41))</f>
        <v>Table-Text (Tbtx)</v>
      </c>
      <c r="C89" s="7" t="s">
        <v>480</v>
      </c>
      <c r="D89" s="7" t="s">
        <v>481</v>
      </c>
      <c r="E89" s="37" t="s">
        <v>477</v>
      </c>
      <c r="F89" s="5">
        <v>1</v>
      </c>
      <c r="G89" s="7" t="b">
        <v>0</v>
      </c>
      <c r="H89" s="5">
        <v>1</v>
      </c>
      <c r="I89" s="5" t="s">
        <v>1</v>
      </c>
      <c r="J89" s="5">
        <v>11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0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3"/>
        <v>.Table-TextTbtx</v>
      </c>
    </row>
    <row r="90" spans="1:99">
      <c r="A90" s="37" t="str">
        <f>IF($D90="","",TRIM($C90)&amp;" "&amp;CHAR(40)&amp;TRIM($D90)&amp;CHAR(41))</f>
        <v>Headline (Hdline)</v>
      </c>
      <c r="C90" s="7" t="s">
        <v>482</v>
      </c>
      <c r="D90" s="7" t="s">
        <v>588</v>
      </c>
      <c r="E90" s="7" t="s">
        <v>426</v>
      </c>
      <c r="F90" s="5">
        <v>1</v>
      </c>
      <c r="G90" s="7" t="b">
        <v>0</v>
      </c>
      <c r="H90" s="5">
        <v>1</v>
      </c>
      <c r="I90" s="5" t="s">
        <v>66</v>
      </c>
      <c r="J90" s="5">
        <v>12</v>
      </c>
      <c r="K90" s="7" t="b">
        <v>0</v>
      </c>
      <c r="L90" s="5" t="b">
        <v>1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0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0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1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3" t="str">
        <f t="shared" si="3"/>
        <v>.HeadlineHdline</v>
      </c>
    </row>
    <row r="91" spans="1:99">
      <c r="A91" s="37" t="str">
        <f t="shared" si="0"/>
        <v>Byline (Byline)</v>
      </c>
      <c r="C91" s="7" t="s">
        <v>483</v>
      </c>
      <c r="D91" s="7" t="s">
        <v>483</v>
      </c>
      <c r="E91" s="7" t="s">
        <v>426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0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0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1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3" t="str">
        <f t="shared" si="3"/>
        <v>.BylineByline</v>
      </c>
    </row>
    <row r="92" spans="1:99">
      <c r="A92" s="37" t="str">
        <f t="shared" si="0"/>
        <v>Bullet-Level-1-List (Bl1)</v>
      </c>
      <c r="C92" s="7" t="s">
        <v>366</v>
      </c>
      <c r="D92" s="7" t="s">
        <v>589</v>
      </c>
      <c r="E92" s="37" t="str">
        <f t="shared" si="4"/>
        <v>Bullet-Level-1-List (Bl1)</v>
      </c>
      <c r="F92" s="5">
        <v>1</v>
      </c>
      <c r="G92" s="7" t="b">
        <v>1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5" t="b">
        <v>0</v>
      </c>
      <c r="AB92" s="5" t="b">
        <v>0</v>
      </c>
      <c r="AC92" s="7">
        <v>54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-18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739</v>
      </c>
      <c r="AT92" s="5">
        <v>18</v>
      </c>
      <c r="AU92" s="7">
        <v>12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F92" s="7" t="b">
        <v>1</v>
      </c>
      <c r="CU92" s="63" t="str">
        <f t="shared" si="3"/>
        <v>.Bullet-Level-1-ListBl1</v>
      </c>
    </row>
    <row r="93" spans="1:99">
      <c r="A93" s="37" t="str">
        <f t="shared" si="0"/>
        <v>Bullet-Level-1-List-Paragraph (Bl1p)</v>
      </c>
      <c r="C93" s="7" t="s">
        <v>484</v>
      </c>
      <c r="D93" s="7" t="s">
        <v>590</v>
      </c>
      <c r="E93" s="37" t="str">
        <f t="shared" si="4"/>
        <v>Bullet-Level-1-List-Paragraph (Bl1p)</v>
      </c>
      <c r="F93" s="5">
        <v>1</v>
      </c>
      <c r="G93" s="7" t="b">
        <v>0</v>
      </c>
      <c r="H93" s="5">
        <v>1</v>
      </c>
      <c r="I93" s="5" t="s">
        <v>66</v>
      </c>
      <c r="J93" s="5">
        <v>12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54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739</v>
      </c>
      <c r="AT93" s="5">
        <v>18</v>
      </c>
      <c r="AU93" s="7">
        <v>12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F93" s="7" t="b">
        <v>1</v>
      </c>
      <c r="CL93" s="7" t="b">
        <v>1</v>
      </c>
      <c r="CU93" s="63" t="str">
        <f t="shared" si="3"/>
        <v>.Bullet-Level-1-List-ParagraphBl1p</v>
      </c>
    </row>
    <row r="94" spans="1:99">
      <c r="A94" s="37" t="str">
        <f t="shared" si="0"/>
        <v>Bullet-Level-2-List (Bl2)</v>
      </c>
      <c r="C94" s="7" t="s">
        <v>367</v>
      </c>
      <c r="D94" s="7" t="s">
        <v>591</v>
      </c>
      <c r="E94" s="37" t="str">
        <f t="shared" si="4"/>
        <v>Bullet-Level-2-List (Bl2)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5" t="b">
        <v>0</v>
      </c>
      <c r="AB94" s="5" t="b">
        <v>0</v>
      </c>
      <c r="AC94" s="7">
        <v>90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-18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739</v>
      </c>
      <c r="AT94" s="5">
        <v>18</v>
      </c>
      <c r="AU94" s="7">
        <v>12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H94" s="7" t="b">
        <v>1</v>
      </c>
      <c r="CU94" s="63" t="str">
        <f t="shared" si="3"/>
        <v>.Bullet-Level-2-ListBl2</v>
      </c>
    </row>
    <row r="95" spans="1:99">
      <c r="A95" s="37" t="str">
        <f t="shared" si="0"/>
        <v>Bullet-Level-2-List-Paragraph (Bl2p)</v>
      </c>
      <c r="C95" s="7" t="s">
        <v>485</v>
      </c>
      <c r="D95" s="7" t="s">
        <v>592</v>
      </c>
      <c r="E95" s="37" t="str">
        <f t="shared" si="4"/>
        <v>Bullet-Level-2-List-Paragraph (Bl2p)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90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739</v>
      </c>
      <c r="AT95" s="5">
        <v>18</v>
      </c>
      <c r="AU95" s="7">
        <v>12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H95" s="7" t="b">
        <v>1</v>
      </c>
      <c r="CL95" s="7" t="b">
        <v>1</v>
      </c>
      <c r="CU95" s="63" t="str">
        <f t="shared" si="3"/>
        <v>.Bullet-Level-2-List-ParagraphBl2p</v>
      </c>
    </row>
    <row r="96" spans="1:99">
      <c r="A96" s="37" t="str">
        <f t="shared" si="0"/>
        <v>Bullet-Level-3-List (Bl3)</v>
      </c>
      <c r="C96" s="7" t="s">
        <v>368</v>
      </c>
      <c r="D96" s="7" t="s">
        <v>593</v>
      </c>
      <c r="E96" s="37" t="str">
        <f t="shared" si="4"/>
        <v>Bullet-Level-3-List (Bl3)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1</v>
      </c>
      <c r="Z96" s="5" t="b">
        <v>0</v>
      </c>
      <c r="AA96" s="5" t="b">
        <v>0</v>
      </c>
      <c r="AB96" s="5" t="b">
        <v>0</v>
      </c>
      <c r="AC96" s="7">
        <v>126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-18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739</v>
      </c>
      <c r="AT96" s="5">
        <v>18</v>
      </c>
      <c r="AU96" s="7">
        <v>12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J96" s="7" t="b">
        <v>1</v>
      </c>
      <c r="CU96" s="63" t="str">
        <f t="shared" si="3"/>
        <v>.Bullet-Level-3-ListBl3</v>
      </c>
    </row>
    <row r="97" spans="1:99">
      <c r="A97" s="37" t="str">
        <f t="shared" si="0"/>
        <v>Bullet-Level-3-List-Paragraph (Bl3p)</v>
      </c>
      <c r="C97" s="7" t="s">
        <v>486</v>
      </c>
      <c r="D97" s="7" t="s">
        <v>594</v>
      </c>
      <c r="E97" s="37" t="str">
        <f t="shared" si="4"/>
        <v>Bullet-Level-3-List-Paragraph (Bl3p)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126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739</v>
      </c>
      <c r="AT97" s="5">
        <v>18</v>
      </c>
      <c r="AU97" s="7">
        <v>12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J97" s="7" t="b">
        <v>1</v>
      </c>
      <c r="CL97" s="7" t="b">
        <v>1</v>
      </c>
      <c r="CU97" s="63" t="str">
        <f t="shared" si="3"/>
        <v>.Bullet-Level-3-List-ParagraphBl3p</v>
      </c>
    </row>
    <row r="98" spans="1:99">
      <c r="A98" s="37" t="str">
        <f t="shared" si="0"/>
        <v>Num-Level-1-List (Nl1)</v>
      </c>
      <c r="C98" s="7" t="s">
        <v>369</v>
      </c>
      <c r="D98" s="7" t="s">
        <v>595</v>
      </c>
      <c r="E98" s="37" t="str">
        <f t="shared" si="4"/>
        <v>Num-Level-1-List (Nl1)</v>
      </c>
      <c r="F98" s="5">
        <v>1</v>
      </c>
      <c r="G98" s="7" t="b">
        <v>1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1</v>
      </c>
      <c r="AA98" s="5" t="b">
        <v>0</v>
      </c>
      <c r="AB98" s="5" t="b">
        <v>0</v>
      </c>
      <c r="AC98" s="7">
        <v>54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-18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739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1</v>
      </c>
      <c r="BO98" s="5" t="b">
        <v>0</v>
      </c>
      <c r="CG98" s="7" t="b">
        <v>1</v>
      </c>
      <c r="CU98" s="63" t="str">
        <f t="shared" si="3"/>
        <v>.Num-Level-1-ListNl1</v>
      </c>
    </row>
    <row r="99" spans="1:99">
      <c r="A99" s="37" t="str">
        <f t="shared" si="0"/>
        <v>Num-Level-1-List-Paragraph (Nl1p)</v>
      </c>
      <c r="C99" s="7" t="s">
        <v>487</v>
      </c>
      <c r="D99" s="7" t="s">
        <v>596</v>
      </c>
      <c r="E99" s="37" t="str">
        <f t="shared" si="4"/>
        <v>Num-Level-1-List-Paragraph (Nl1p)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54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739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G99" s="7" t="b">
        <v>1</v>
      </c>
      <c r="CL99" s="7" t="b">
        <v>1</v>
      </c>
      <c r="CU99" s="63" t="str">
        <f t="shared" si="3"/>
        <v>.Num-Level-1-List-ParagraphNl1p</v>
      </c>
    </row>
    <row r="100" spans="1:99">
      <c r="A100" s="37" t="str">
        <f t="shared" si="0"/>
        <v>Num-Level-2-List (Nl2)</v>
      </c>
      <c r="C100" s="7" t="s">
        <v>370</v>
      </c>
      <c r="D100" s="7" t="s">
        <v>597</v>
      </c>
      <c r="E100" s="37" t="str">
        <f t="shared" si="4"/>
        <v>Num-Level-2-List (Nl2)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1</v>
      </c>
      <c r="AA100" s="5" t="b">
        <v>0</v>
      </c>
      <c r="AB100" s="5" t="b">
        <v>0</v>
      </c>
      <c r="AC100" s="7">
        <v>90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-18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739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2</v>
      </c>
      <c r="BO100" s="5" t="b">
        <v>0</v>
      </c>
      <c r="CI100" s="7" t="b">
        <v>1</v>
      </c>
      <c r="CU100" s="63" t="str">
        <f t="shared" si="3"/>
        <v>.Num-Level-2-ListNl2</v>
      </c>
    </row>
    <row r="101" spans="1:99">
      <c r="A101" s="37" t="str">
        <f t="shared" si="0"/>
        <v>Num-Level-2-List-Paragraph (Nl2p)</v>
      </c>
      <c r="C101" s="7" t="s">
        <v>488</v>
      </c>
      <c r="D101" s="7" t="s">
        <v>598</v>
      </c>
      <c r="E101" s="37" t="str">
        <f t="shared" si="4"/>
        <v>Num-Level-2-List-Paragraph (Nl2p)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90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I101" s="7" t="b">
        <v>1</v>
      </c>
      <c r="CL101" s="7" t="b">
        <v>1</v>
      </c>
      <c r="CU101" s="63" t="str">
        <f t="shared" si="3"/>
        <v>.Num-Level-2-List-ParagraphNl2p</v>
      </c>
    </row>
    <row r="102" spans="1:99">
      <c r="A102" s="37" t="str">
        <f t="shared" si="0"/>
        <v>Num-Level-3-List (Nl3)</v>
      </c>
      <c r="C102" s="7" t="s">
        <v>371</v>
      </c>
      <c r="D102" s="7" t="s">
        <v>599</v>
      </c>
      <c r="E102" s="37" t="str">
        <f t="shared" si="4"/>
        <v>Num-Level-3-List (Nl3)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1</v>
      </c>
      <c r="AA102" s="5" t="b">
        <v>0</v>
      </c>
      <c r="AB102" s="5" t="b">
        <v>0</v>
      </c>
      <c r="AC102" s="7">
        <v>126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-18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3</v>
      </c>
      <c r="BO102" s="5" t="b">
        <v>0</v>
      </c>
      <c r="CK102" s="7" t="b">
        <v>1</v>
      </c>
      <c r="CU102" s="63" t="str">
        <f t="shared" si="3"/>
        <v>.Num-Level-3-ListNl3</v>
      </c>
    </row>
    <row r="103" spans="1:99">
      <c r="A103" s="37" t="str">
        <f t="shared" si="0"/>
        <v>Num-Level-3-List-Paragraph (Nl3p)</v>
      </c>
      <c r="C103" s="7" t="s">
        <v>698</v>
      </c>
      <c r="D103" s="7" t="s">
        <v>600</v>
      </c>
      <c r="E103" s="37" t="str">
        <f t="shared" si="4"/>
        <v>Num-Level-3-List-Paragraph (Nl3p)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126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0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K103" s="7" t="b">
        <v>1</v>
      </c>
      <c r="CL103" s="7" t="b">
        <v>1</v>
      </c>
      <c r="CU103" s="63" t="str">
        <f t="shared" si="3"/>
        <v>.Num-Level-3-List-ParagraphNl3p</v>
      </c>
    </row>
    <row r="104" spans="1:99">
      <c r="A104" s="37" t="str">
        <f t="shared" si="0"/>
        <v>Unnum-Level-1-List (Ul1)</v>
      </c>
      <c r="C104" s="7" t="s">
        <v>372</v>
      </c>
      <c r="D104" s="7" t="s">
        <v>601</v>
      </c>
      <c r="E104" s="37" t="str">
        <f t="shared" si="4"/>
        <v>Unnum-Level-1-List (Ul1)</v>
      </c>
      <c r="F104" s="5">
        <v>1</v>
      </c>
      <c r="G104" s="7" t="b">
        <v>1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36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F104" s="7" t="b">
        <v>1</v>
      </c>
      <c r="CU104" s="63" t="str">
        <f t="shared" si="3"/>
        <v>.Unnum-Level-1-ListUl1</v>
      </c>
    </row>
    <row r="105" spans="1:99">
      <c r="A105" s="37" t="str">
        <f t="shared" si="0"/>
        <v>Unnum-Level-1-List-Paragraph (Ul1p)</v>
      </c>
      <c r="C105" s="7" t="s">
        <v>489</v>
      </c>
      <c r="D105" s="7" t="s">
        <v>602</v>
      </c>
      <c r="E105" s="37" t="str">
        <f t="shared" si="4"/>
        <v>Unnum-Level-1-List-Paragraph (Ul1p)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36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36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F105" s="7" t="b">
        <v>1</v>
      </c>
      <c r="CL105" s="7" t="b">
        <v>1</v>
      </c>
      <c r="CU105" s="63" t="str">
        <f t="shared" si="3"/>
        <v>.Unnum-Level-1-List-ParagraphUl1p</v>
      </c>
    </row>
    <row r="106" spans="1:99">
      <c r="A106" s="37" t="str">
        <f t="shared" si="0"/>
        <v>Unnum-Level-2-List (Ul2)</v>
      </c>
      <c r="C106" s="7" t="s">
        <v>373</v>
      </c>
      <c r="D106" s="7" t="s">
        <v>603</v>
      </c>
      <c r="E106" s="37" t="str">
        <f t="shared" si="4"/>
        <v>Unnum-Level-2-List (Ul2)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72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H106" s="7" t="b">
        <v>1</v>
      </c>
      <c r="CU106" s="63" t="str">
        <f t="shared" si="3"/>
        <v>.Unnum-Level-2-ListUl2</v>
      </c>
    </row>
    <row r="107" spans="1:99">
      <c r="A107" s="37" t="str">
        <f t="shared" si="0"/>
        <v>Unnum-Level-2-List-Paragraph (Ul2p)</v>
      </c>
      <c r="C107" s="7" t="s">
        <v>490</v>
      </c>
      <c r="D107" s="7" t="s">
        <v>604</v>
      </c>
      <c r="E107" s="37" t="str">
        <f t="shared" si="4"/>
        <v>Unnum-Level-2-List-Paragraph (Ul2p)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72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36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H107" s="7" t="b">
        <v>1</v>
      </c>
      <c r="CL107" s="7" t="b">
        <v>1</v>
      </c>
      <c r="CU107" s="63" t="str">
        <f t="shared" si="3"/>
        <v>.Unnum-Level-2-List-ParagraphUl2p</v>
      </c>
    </row>
    <row r="108" spans="1:99">
      <c r="A108" s="37" t="str">
        <f t="shared" ref="A108:A199" si="5">IF($D108="","",TRIM($C108)&amp;" "&amp;CHAR(40)&amp;TRIM($D108)&amp;CHAR(41))</f>
        <v>Unnum-Level-3-List (Ul3)</v>
      </c>
      <c r="C108" s="7" t="s">
        <v>374</v>
      </c>
      <c r="D108" s="7" t="s">
        <v>605</v>
      </c>
      <c r="E108" s="37" t="str">
        <f t="shared" si="4"/>
        <v>Unnum-Level-3-List (Ul3)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108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J108" s="7" t="b">
        <v>1</v>
      </c>
      <c r="CU108" s="63" t="str">
        <f t="shared" si="3"/>
        <v>.Unnum-Level-3-ListUl3</v>
      </c>
    </row>
    <row r="109" spans="1:99">
      <c r="A109" s="37" t="str">
        <f t="shared" si="5"/>
        <v>Unnum-Level-3-List-Paragraph (Ul3p)</v>
      </c>
      <c r="C109" s="7" t="s">
        <v>491</v>
      </c>
      <c r="D109" s="7" t="s">
        <v>606</v>
      </c>
      <c r="E109" s="37" t="str">
        <f t="shared" si="4"/>
        <v>Unnum-Level-3-List-Paragraph (Ul3p)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108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36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J109" s="7" t="b">
        <v>1</v>
      </c>
      <c r="CL109" s="7" t="b">
        <v>1</v>
      </c>
      <c r="CU109" s="63" t="str">
        <f t="shared" si="3"/>
        <v>.Unnum-Level-3-List-ParagraphUl3p</v>
      </c>
    </row>
    <row r="110" spans="1:99">
      <c r="A110" s="37" t="str">
        <f t="shared" si="5"/>
        <v>Alpha-Level-1-List (Al1)</v>
      </c>
      <c r="C110" s="7" t="s">
        <v>699</v>
      </c>
      <c r="D110" s="7" t="s">
        <v>607</v>
      </c>
      <c r="E110" s="37" t="str">
        <f t="shared" si="4"/>
        <v>Alpha-Level-1-List (Al1)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1</v>
      </c>
      <c r="AB110" s="5" t="b">
        <v>0</v>
      </c>
      <c r="AC110" s="7">
        <v>54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-18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1</v>
      </c>
      <c r="BO110" s="5" t="b">
        <v>0</v>
      </c>
      <c r="CG110" s="7" t="b">
        <v>1</v>
      </c>
      <c r="CU110" s="63" t="str">
        <f t="shared" si="3"/>
        <v>.Alpha-Level-1-ListAl1</v>
      </c>
    </row>
    <row r="111" spans="1:99">
      <c r="A111" s="37" t="str">
        <f t="shared" si="5"/>
        <v>Alpha-Level-1-List-Paragraph (Al1p)</v>
      </c>
      <c r="C111" s="7" t="s">
        <v>693</v>
      </c>
      <c r="D111" s="7" t="s">
        <v>608</v>
      </c>
      <c r="E111" s="37" t="str">
        <f t="shared" si="4"/>
        <v>Alpha-Level-1-List-Paragraph (Al1p)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54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0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G111" s="7" t="b">
        <v>1</v>
      </c>
      <c r="CL111" s="7" t="b">
        <v>1</v>
      </c>
      <c r="CU111" s="63" t="str">
        <f t="shared" si="3"/>
        <v>.Alpha-Level-1-List-ParagraphAl1p</v>
      </c>
    </row>
    <row r="112" spans="1:99">
      <c r="A112" s="37" t="str">
        <f t="shared" si="5"/>
        <v>Alpha-Level-2-List (Al2)</v>
      </c>
      <c r="C112" s="7" t="s">
        <v>694</v>
      </c>
      <c r="D112" s="7" t="s">
        <v>609</v>
      </c>
      <c r="E112" s="37" t="str">
        <f t="shared" si="4"/>
        <v>Alpha-Level-2-List (Al2)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1</v>
      </c>
      <c r="AB112" s="5" t="b">
        <v>0</v>
      </c>
      <c r="AC112" s="7">
        <v>90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-18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2</v>
      </c>
      <c r="BO112" s="5" t="b">
        <v>0</v>
      </c>
      <c r="CI112" s="7" t="b">
        <v>1</v>
      </c>
      <c r="CU112" s="63" t="str">
        <f t="shared" si="3"/>
        <v>.Alpha-Level-2-ListAl2</v>
      </c>
    </row>
    <row r="113" spans="1:99">
      <c r="A113" s="37" t="str">
        <f t="shared" si="5"/>
        <v>Alpha-Level-2-List-Paragraph (Al2p)</v>
      </c>
      <c r="C113" s="7" t="s">
        <v>695</v>
      </c>
      <c r="D113" s="7" t="s">
        <v>610</v>
      </c>
      <c r="E113" s="37" t="str">
        <f t="shared" si="4"/>
        <v>Alpha-Level-2-List-Paragraph (Al2p)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90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0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I113" s="7" t="b">
        <v>1</v>
      </c>
      <c r="CL113" s="7" t="b">
        <v>1</v>
      </c>
      <c r="CU113" s="63" t="str">
        <f t="shared" si="3"/>
        <v>.Alpha-Level-2-List-ParagraphAl2p</v>
      </c>
    </row>
    <row r="114" spans="1:99">
      <c r="A114" s="37" t="str">
        <f t="shared" si="5"/>
        <v>Alpha-Level-3-List (Al3)</v>
      </c>
      <c r="C114" s="7" t="s">
        <v>696</v>
      </c>
      <c r="D114" s="7" t="s">
        <v>611</v>
      </c>
      <c r="E114" s="37" t="str">
        <f t="shared" si="4"/>
        <v>Alpha-Level-3-List (Al3)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1</v>
      </c>
      <c r="AB114" s="5" t="b">
        <v>0</v>
      </c>
      <c r="AC114" s="7">
        <v>126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-18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3</v>
      </c>
      <c r="BO114" s="5" t="b">
        <v>0</v>
      </c>
      <c r="CK114" s="7" t="b">
        <v>1</v>
      </c>
      <c r="CU114" s="63" t="str">
        <f t="shared" si="3"/>
        <v>.Alpha-Level-3-ListAl3</v>
      </c>
    </row>
    <row r="115" spans="1:99">
      <c r="A115" s="37" t="str">
        <f t="shared" si="5"/>
        <v>Alpha-Level-3-List-Paragraph (Al3p)</v>
      </c>
      <c r="C115" s="7" t="s">
        <v>697</v>
      </c>
      <c r="D115" s="7" t="s">
        <v>612</v>
      </c>
      <c r="E115" s="37" t="str">
        <f t="shared" si="4"/>
        <v>Alpha-Level-3-List-Paragraph (Al3p)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126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0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K115" s="7" t="b">
        <v>1</v>
      </c>
      <c r="CL115" s="7" t="b">
        <v>1</v>
      </c>
      <c r="CU115" s="63" t="str">
        <f t="shared" si="3"/>
        <v>.Alpha-Level-3-List-ParagraphAl3p</v>
      </c>
    </row>
    <row r="116" spans="1:99">
      <c r="A116" s="37" t="str">
        <f t="shared" si="5"/>
        <v>Bulleted-Paragraph (Bp)</v>
      </c>
      <c r="C116" s="7" t="s">
        <v>375</v>
      </c>
      <c r="D116" s="7" t="s">
        <v>376</v>
      </c>
      <c r="E116" s="37" t="str">
        <f t="shared" si="4"/>
        <v>Bulleted-Paragraph (Bp)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1</v>
      </c>
      <c r="Z116" s="5" t="b">
        <v>0</v>
      </c>
      <c r="AA116" s="5" t="b">
        <v>0</v>
      </c>
      <c r="AB116" s="5" t="b">
        <v>0</v>
      </c>
      <c r="AC116" s="7">
        <v>0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0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U116" s="63" t="str">
        <f t="shared" si="3"/>
        <v>.Bulleted-ParagraphBp</v>
      </c>
    </row>
    <row r="117" spans="1:99">
      <c r="A117" s="37" t="str">
        <f t="shared" si="5"/>
        <v>Numbered-Paragraph (Np)</v>
      </c>
      <c r="C117" s="7" t="s">
        <v>377</v>
      </c>
      <c r="D117" s="7" t="s">
        <v>378</v>
      </c>
      <c r="E117" s="37" t="str">
        <f t="shared" si="4"/>
        <v>Numbered-Paragraph (Np)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1</v>
      </c>
      <c r="AA117" s="5" t="b">
        <v>0</v>
      </c>
      <c r="AB117" s="5" t="b">
        <v>0</v>
      </c>
      <c r="AC117" s="7">
        <v>0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U117" s="63" t="str">
        <f t="shared" si="3"/>
        <v>.Numbered-ParagraphNp</v>
      </c>
    </row>
    <row r="118" spans="1:99">
      <c r="A118" s="37" t="str">
        <f t="shared" si="5"/>
        <v>List-Head (Lhead)</v>
      </c>
      <c r="C118" s="7" t="s">
        <v>492</v>
      </c>
      <c r="D118" s="7" t="s">
        <v>613</v>
      </c>
      <c r="E118" s="7" t="s">
        <v>426</v>
      </c>
      <c r="F118" s="5">
        <v>1</v>
      </c>
      <c r="G118" s="7" t="b">
        <v>0</v>
      </c>
      <c r="H118" s="5">
        <v>1</v>
      </c>
      <c r="I118" s="5" t="s">
        <v>67</v>
      </c>
      <c r="J118" s="5">
        <v>14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36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0</v>
      </c>
      <c r="AK118" s="7">
        <v>6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U118" s="63" t="str">
        <f t="shared" si="3"/>
        <v>.List-HeadLhead</v>
      </c>
    </row>
    <row r="119" spans="1:99">
      <c r="A119" s="37" t="str">
        <f t="shared" si="5"/>
        <v>Generic-Footnote (Ftnt)</v>
      </c>
      <c r="C119" s="7" t="s">
        <v>493</v>
      </c>
      <c r="D119" s="7" t="s">
        <v>494</v>
      </c>
      <c r="E119" s="37" t="str">
        <f t="shared" si="4"/>
        <v>Generic-Footnote (Ftnt)</v>
      </c>
      <c r="F119" s="5">
        <v>1</v>
      </c>
      <c r="G119" s="7" t="b">
        <v>0</v>
      </c>
      <c r="H119" s="5">
        <v>1</v>
      </c>
      <c r="I119" s="5" t="s">
        <v>66</v>
      </c>
      <c r="J119" s="5">
        <v>10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0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36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739</v>
      </c>
      <c r="AT119" s="5">
        <v>1</v>
      </c>
      <c r="AU119" s="7">
        <v>36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U119" s="63" t="str">
        <f t="shared" si="3"/>
        <v>.Generic-FootnoteFtnt</v>
      </c>
    </row>
    <row r="120" spans="1:99">
      <c r="A120" s="37" t="str">
        <f t="shared" si="5"/>
        <v>Reference-Entry (Ref)</v>
      </c>
      <c r="C120" s="7" t="s">
        <v>379</v>
      </c>
      <c r="D120" s="7" t="s">
        <v>614</v>
      </c>
      <c r="E120" s="37" t="str">
        <f t="shared" si="4"/>
        <v>Reference-Entry (Ref)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0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36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38" t="s">
        <v>739</v>
      </c>
      <c r="AT120" s="5">
        <v>1</v>
      </c>
      <c r="AU120" s="7">
        <v>36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U120" s="63" t="str">
        <f t="shared" si="3"/>
        <v>.Reference-EntryRef</v>
      </c>
    </row>
    <row r="121" spans="1:99">
      <c r="A121" s="37" t="str">
        <f t="shared" si="5"/>
        <v>Source-Note (Srcnt)</v>
      </c>
      <c r="C121" s="7" t="s">
        <v>380</v>
      </c>
      <c r="D121" s="7" t="s">
        <v>615</v>
      </c>
      <c r="E121" s="7" t="s">
        <v>426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0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36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38" t="s">
        <v>739</v>
      </c>
      <c r="AT121" s="5">
        <v>1</v>
      </c>
      <c r="AU121" s="7">
        <v>36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U121" s="63" t="str">
        <f t="shared" si="3"/>
        <v>.Source-NoteSrcnt</v>
      </c>
    </row>
    <row r="122" spans="1:99">
      <c r="A122" s="37" t="str">
        <f t="shared" si="5"/>
        <v>Index-Entry (Idx1)</v>
      </c>
      <c r="C122" s="7" t="s">
        <v>495</v>
      </c>
      <c r="D122" s="7" t="s">
        <v>624</v>
      </c>
      <c r="E122" s="37" t="str">
        <f t="shared" si="4"/>
        <v>Index-Entry (Idx1)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18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-18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47" t="s">
        <v>68</v>
      </c>
      <c r="AT122" s="5">
        <v>1</v>
      </c>
      <c r="AU122" s="7">
        <v>36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3"/>
        <v>.Index-EntryIdx1</v>
      </c>
    </row>
    <row r="123" spans="1:99">
      <c r="A123" s="37" t="str">
        <f t="shared" si="5"/>
        <v>Index-Sub-Entry (Idx2)</v>
      </c>
      <c r="C123" s="7" t="s">
        <v>496</v>
      </c>
      <c r="D123" s="7" t="s">
        <v>625</v>
      </c>
      <c r="E123" s="37" t="str">
        <f t="shared" si="4"/>
        <v>Index-Sub-Entry (Idx2)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0</v>
      </c>
      <c r="AB123" s="5" t="b">
        <v>0</v>
      </c>
      <c r="AC123" s="7">
        <v>54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47" t="s">
        <v>68</v>
      </c>
      <c r="AT123" s="5">
        <v>1</v>
      </c>
      <c r="AU123" s="7">
        <v>36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3"/>
        <v>.Index-Sub-EntryIdx2</v>
      </c>
    </row>
    <row r="124" spans="1:99">
      <c r="A124" s="37" t="str">
        <f t="shared" si="5"/>
        <v>Index-Sub-Sub-Entry (Idx3)</v>
      </c>
      <c r="C124" s="7" t="s">
        <v>497</v>
      </c>
      <c r="D124" s="7" t="s">
        <v>626</v>
      </c>
      <c r="E124" s="37" t="str">
        <f t="shared" si="4"/>
        <v>Index-Sub-Sub-Entry (Idx3)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90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-18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47" t="s">
        <v>68</v>
      </c>
      <c r="AT124" s="5">
        <v>1</v>
      </c>
      <c r="AU124" s="7">
        <v>36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3"/>
        <v>.Index-Sub-Sub-EntryIdx3</v>
      </c>
    </row>
    <row r="125" spans="1:99">
      <c r="A125" s="37" t="str">
        <f t="shared" si="5"/>
        <v>Publisher (Pub)</v>
      </c>
      <c r="C125" s="7" t="s">
        <v>498</v>
      </c>
      <c r="D125" s="7" t="s">
        <v>499</v>
      </c>
      <c r="E125" s="7" t="s">
        <v>426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1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48" t="s">
        <v>660</v>
      </c>
      <c r="AT125" s="5">
        <v>1</v>
      </c>
      <c r="AU125" s="7">
        <v>36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3"/>
        <v>.PublisherPub</v>
      </c>
    </row>
    <row r="126" spans="1:99">
      <c r="A126" s="37" t="str">
        <f t="shared" si="5"/>
        <v>Cities (Cit)</v>
      </c>
      <c r="C126" s="7" t="s">
        <v>500</v>
      </c>
      <c r="D126" s="7" t="s">
        <v>501</v>
      </c>
      <c r="E126" s="7" t="s">
        <v>426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1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48" t="s">
        <v>660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3"/>
        <v>.CitiesCit</v>
      </c>
    </row>
    <row r="127" spans="1:99">
      <c r="A127" s="37" t="str">
        <f t="shared" si="5"/>
        <v>Logo-Placement (Logo)</v>
      </c>
      <c r="C127" s="7" t="s">
        <v>381</v>
      </c>
      <c r="D127" s="7" t="s">
        <v>616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70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1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1</v>
      </c>
      <c r="AO127" s="40" t="s">
        <v>70</v>
      </c>
      <c r="AP127" s="5">
        <v>1</v>
      </c>
      <c r="AQ127" s="5">
        <v>24</v>
      </c>
      <c r="AR127" s="5" t="b">
        <v>1</v>
      </c>
      <c r="AS127" s="40" t="s">
        <v>70</v>
      </c>
      <c r="AT127" s="5">
        <v>1</v>
      </c>
      <c r="AU127" s="7">
        <v>36</v>
      </c>
      <c r="AV127" s="5" t="b">
        <v>1</v>
      </c>
      <c r="AW127" s="40" t="s">
        <v>70</v>
      </c>
      <c r="AX127" s="5">
        <v>1</v>
      </c>
      <c r="AY127" s="5">
        <v>24</v>
      </c>
      <c r="AZ127" s="5" t="b">
        <v>1</v>
      </c>
      <c r="BA127" s="40" t="s">
        <v>70</v>
      </c>
      <c r="BB127" s="5">
        <v>1</v>
      </c>
      <c r="BC127" s="5">
        <v>24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3" t="str">
        <f t="shared" si="3"/>
        <v>.Logo-PlacementLogo</v>
      </c>
    </row>
    <row r="128" spans="1:99">
      <c r="A128" s="37" t="str">
        <f t="shared" si="5"/>
        <v>Imprint (Imp)</v>
      </c>
      <c r="C128" s="7" t="s">
        <v>382</v>
      </c>
      <c r="D128" s="7" t="s">
        <v>617</v>
      </c>
      <c r="E128" s="7" t="s">
        <v>426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1</v>
      </c>
      <c r="AJ128" s="7">
        <v>0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8" t="s">
        <v>660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3" t="str">
        <f t="shared" si="3"/>
        <v>.ImprintImp</v>
      </c>
    </row>
    <row r="129" spans="1:102">
      <c r="A129" s="37" t="str">
        <f t="shared" si="5"/>
        <v>Image-Placement (Img)</v>
      </c>
      <c r="C129" s="7" t="s">
        <v>565</v>
      </c>
      <c r="D129" s="7" t="s">
        <v>564</v>
      </c>
      <c r="E129" s="7" t="s">
        <v>426</v>
      </c>
      <c r="F129" s="5">
        <v>1</v>
      </c>
      <c r="G129" s="7" t="b">
        <v>1</v>
      </c>
      <c r="H129" s="5">
        <v>1</v>
      </c>
      <c r="I129" s="5" t="s">
        <v>1</v>
      </c>
      <c r="J129" s="5">
        <v>12</v>
      </c>
      <c r="K129" s="7" t="b">
        <v>0</v>
      </c>
      <c r="L129" s="5" t="b">
        <v>0</v>
      </c>
      <c r="M129" s="8" t="s">
        <v>70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1</v>
      </c>
      <c r="AJ129" s="7">
        <v>0</v>
      </c>
      <c r="AK129" s="7">
        <v>10</v>
      </c>
      <c r="AL129" s="7" t="b">
        <v>0</v>
      </c>
      <c r="AM129" s="5" t="b">
        <v>0</v>
      </c>
      <c r="AN129" s="5" t="b">
        <v>1</v>
      </c>
      <c r="AO129" s="40" t="s">
        <v>70</v>
      </c>
      <c r="AP129" s="5">
        <v>1</v>
      </c>
      <c r="AQ129" s="5">
        <v>24</v>
      </c>
      <c r="AR129" s="5" t="b">
        <v>1</v>
      </c>
      <c r="AS129" s="40" t="s">
        <v>70</v>
      </c>
      <c r="AT129" s="5">
        <v>1</v>
      </c>
      <c r="AU129" s="7">
        <v>36</v>
      </c>
      <c r="AV129" s="5" t="b">
        <v>1</v>
      </c>
      <c r="AW129" s="40" t="s">
        <v>70</v>
      </c>
      <c r="AX129" s="5">
        <v>1</v>
      </c>
      <c r="AY129" s="5">
        <v>24</v>
      </c>
      <c r="AZ129" s="5" t="b">
        <v>1</v>
      </c>
      <c r="BA129" s="40" t="s">
        <v>70</v>
      </c>
      <c r="BB129" s="5">
        <v>1</v>
      </c>
      <c r="BC129" s="5">
        <v>24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B129" s="7" t="b">
        <v>1</v>
      </c>
      <c r="CC129" s="7" t="b">
        <v>1</v>
      </c>
      <c r="CP129" s="7" t="b">
        <v>1</v>
      </c>
      <c r="CU129" s="63" t="str">
        <f t="shared" si="3"/>
        <v>.Image-PlacementImg</v>
      </c>
    </row>
    <row r="130" spans="1:102">
      <c r="A130" s="37" t="str">
        <f t="shared" si="5"/>
        <v>Credit-Line (Crd)</v>
      </c>
      <c r="C130" s="7" t="s">
        <v>383</v>
      </c>
      <c r="D130" s="7" t="s">
        <v>384</v>
      </c>
      <c r="E130" s="37" t="str">
        <f t="shared" ref="E130:E143" si="6">IF($D130="","",TRIM($C130)&amp;" "&amp;CHAR(40)&amp;TRIM($D130)&amp;CHAR(41))</f>
        <v>Credit-Line (Crd)</v>
      </c>
      <c r="F130" s="5">
        <v>1</v>
      </c>
      <c r="G130" s="7" t="b">
        <v>0</v>
      </c>
      <c r="H130" s="5">
        <v>1</v>
      </c>
      <c r="I130" s="5" t="s">
        <v>1</v>
      </c>
      <c r="J130" s="5">
        <v>10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9" t="s">
        <v>664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B130" s="7" t="b">
        <v>1</v>
      </c>
      <c r="CE130" s="7" t="b">
        <v>1</v>
      </c>
      <c r="CP130" s="7" t="b">
        <v>1</v>
      </c>
      <c r="CU130" s="63" t="str">
        <f t="shared" si="3"/>
        <v>.Credit-LineCrd</v>
      </c>
    </row>
    <row r="131" spans="1:102">
      <c r="A131" s="37" t="str">
        <f t="shared" si="5"/>
        <v>Caption (Cap)</v>
      </c>
      <c r="C131" s="7" t="s">
        <v>203</v>
      </c>
      <c r="D131" s="7" t="s">
        <v>385</v>
      </c>
      <c r="E131" s="37" t="str">
        <f t="shared" si="6"/>
        <v>Caption (Cap)</v>
      </c>
      <c r="F131" s="5">
        <v>1</v>
      </c>
      <c r="G131" s="7" t="b">
        <v>0</v>
      </c>
      <c r="H131" s="5">
        <v>1</v>
      </c>
      <c r="I131" s="5" t="s">
        <v>1</v>
      </c>
      <c r="J131" s="5">
        <v>10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36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9" t="s">
        <v>664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B131" s="7" t="b">
        <v>1</v>
      </c>
      <c r="CD131" s="7" t="b">
        <v>1</v>
      </c>
      <c r="CP131" s="7" t="b">
        <v>1</v>
      </c>
      <c r="CU131" s="63" t="str">
        <f t="shared" si="3"/>
        <v>.CaptionCap</v>
      </c>
    </row>
    <row r="132" spans="1:102">
      <c r="A132" s="37" t="str">
        <f t="shared" si="5"/>
        <v>Question (Ques)</v>
      </c>
      <c r="C132" s="7" t="s">
        <v>797</v>
      </c>
      <c r="D132" s="7" t="s">
        <v>798</v>
      </c>
      <c r="E132" s="37" t="str">
        <f t="shared" si="6"/>
        <v>Question (Ques)</v>
      </c>
      <c r="F132" s="5">
        <v>1</v>
      </c>
      <c r="G132" s="7" t="b">
        <v>0</v>
      </c>
      <c r="H132" s="5">
        <v>1</v>
      </c>
      <c r="I132" s="5" t="s">
        <v>2</v>
      </c>
      <c r="J132" s="5">
        <v>11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36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38" t="s">
        <v>739</v>
      </c>
      <c r="AT132" s="5">
        <v>3</v>
      </c>
      <c r="AU132" s="7">
        <v>18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ref="CU132:CU133" si="7">"."&amp;SUBSTITUTE(SUBSTITUTE(SUBSTITUTE(SUBSTITUTE(A132, "(",""),")","")," ",""),"#","")</f>
        <v>.QuestionQues</v>
      </c>
    </row>
    <row r="133" spans="1:102">
      <c r="A133" s="37" t="str">
        <f t="shared" si="5"/>
        <v>Answer (Ans)</v>
      </c>
      <c r="C133" s="7" t="s">
        <v>799</v>
      </c>
      <c r="D133" s="7" t="s">
        <v>800</v>
      </c>
      <c r="E133" s="37" t="str">
        <f t="shared" si="6"/>
        <v>Answer (Ans)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36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38" t="s">
        <v>739</v>
      </c>
      <c r="AT133" s="5">
        <v>3</v>
      </c>
      <c r="AU133" s="7">
        <v>18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7"/>
        <v>.AnswerAns</v>
      </c>
    </row>
    <row r="134" spans="1:102">
      <c r="A134" s="37" t="str">
        <f t="shared" si="5"/>
        <v>Speaker1 (Sp1)</v>
      </c>
      <c r="C134" s="7" t="s">
        <v>566</v>
      </c>
      <c r="D134" s="7" t="s">
        <v>567</v>
      </c>
      <c r="E134" s="37" t="str">
        <f t="shared" si="6"/>
        <v>Speaker1 (Sp1)</v>
      </c>
      <c r="F134" s="5">
        <v>1</v>
      </c>
      <c r="G134" s="7" t="b">
        <v>0</v>
      </c>
      <c r="H134" s="5">
        <v>1</v>
      </c>
      <c r="I134" s="5" t="s">
        <v>2</v>
      </c>
      <c r="J134" s="5">
        <v>11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0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36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38" t="s">
        <v>739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3"/>
        <v>.Speaker1Sp1</v>
      </c>
    </row>
    <row r="135" spans="1:102">
      <c r="A135" s="37" t="str">
        <f t="shared" si="5"/>
        <v>Speaker2 (Sp2)</v>
      </c>
      <c r="C135" s="7" t="s">
        <v>568</v>
      </c>
      <c r="D135" s="7" t="s">
        <v>569</v>
      </c>
      <c r="E135" s="37" t="str">
        <f t="shared" si="6"/>
        <v>Speaker2 (Sp2)</v>
      </c>
      <c r="F135" s="5">
        <v>1</v>
      </c>
      <c r="G135" s="7" t="b">
        <v>0</v>
      </c>
      <c r="H135" s="5">
        <v>1</v>
      </c>
      <c r="I135" s="5" t="s">
        <v>2</v>
      </c>
      <c r="J135" s="5">
        <v>11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36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38" t="s">
        <v>739</v>
      </c>
      <c r="AT135" s="5">
        <v>7</v>
      </c>
      <c r="AU135" s="7">
        <v>18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3" t="str">
        <f t="shared" ref="CU135:CU196" si="8">"."&amp;SUBSTITUTE(SUBSTITUTE(SUBSTITUTE(SUBSTITUTE(A135, "(",""),")","")," ",""),"#","")</f>
        <v>.Speaker2Sp2</v>
      </c>
    </row>
    <row r="136" spans="1:102">
      <c r="A136" s="37" t="str">
        <f t="shared" si="5"/>
        <v>Dialogue1 (Dia1)</v>
      </c>
      <c r="C136" s="7" t="s">
        <v>502</v>
      </c>
      <c r="D136" s="7" t="s">
        <v>504</v>
      </c>
      <c r="E136" s="37" t="str">
        <f t="shared" si="6"/>
        <v>Dialogue1 (Dia1)</v>
      </c>
      <c r="F136" s="5">
        <v>1</v>
      </c>
      <c r="G136" s="7" t="b">
        <v>0</v>
      </c>
      <c r="H136" s="5">
        <v>1</v>
      </c>
      <c r="I136" s="5" t="s">
        <v>66</v>
      </c>
      <c r="J136" s="5">
        <v>12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36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38" t="s">
        <v>739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3" t="str">
        <f t="shared" si="8"/>
        <v>.Dialogue1Dia1</v>
      </c>
    </row>
    <row r="137" spans="1:102">
      <c r="A137" s="37" t="str">
        <f t="shared" si="5"/>
        <v>Dialogue2 (Dia2)</v>
      </c>
      <c r="C137" s="7" t="s">
        <v>503</v>
      </c>
      <c r="D137" s="7" t="s">
        <v>505</v>
      </c>
      <c r="E137" s="37" t="str">
        <f t="shared" si="6"/>
        <v>Dialogue2 (Dia2)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36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38" t="s">
        <v>739</v>
      </c>
      <c r="AT137" s="5">
        <v>7</v>
      </c>
      <c r="AU137" s="7">
        <v>18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3" t="str">
        <f t="shared" si="8"/>
        <v>.Dialogue2Dia2</v>
      </c>
    </row>
    <row r="138" spans="1:102">
      <c r="A138" s="37" t="str">
        <f t="shared" si="5"/>
        <v>Stage-Directions (Stdir)</v>
      </c>
      <c r="C138" s="7" t="s">
        <v>386</v>
      </c>
      <c r="D138" s="7" t="s">
        <v>618</v>
      </c>
      <c r="E138" s="37" t="str">
        <f t="shared" si="6"/>
        <v>Stage-Directions (Stdir)</v>
      </c>
      <c r="F138" s="5">
        <v>1</v>
      </c>
      <c r="G138" s="7" t="b">
        <v>0</v>
      </c>
      <c r="H138" s="5">
        <v>1</v>
      </c>
      <c r="I138" s="5" t="s">
        <v>1</v>
      </c>
      <c r="J138" s="5">
        <v>11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36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38" t="s">
        <v>739</v>
      </c>
      <c r="AT138" s="5">
        <v>1</v>
      </c>
      <c r="AU138" s="7">
        <v>36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si="8"/>
        <v>.Stage-DirectionsStdir</v>
      </c>
    </row>
    <row r="139" spans="1:102">
      <c r="A139" s="37" t="str">
        <f t="shared" si="5"/>
        <v>TOC-Frontmatter (Tocfm)</v>
      </c>
      <c r="C139" s="7" t="s">
        <v>387</v>
      </c>
      <c r="D139" s="7" t="s">
        <v>619</v>
      </c>
      <c r="E139" s="37" t="str">
        <f t="shared" si="6"/>
        <v>TOC-Frontmatter (Tocfm)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8" t="s">
        <v>660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8"/>
        <v>.TOC-FrontmatterTocfm</v>
      </c>
    </row>
    <row r="140" spans="1:102">
      <c r="A140" s="37" t="str">
        <f t="shared" si="5"/>
        <v>TOC-Part (Tocpt)</v>
      </c>
      <c r="C140" s="7" t="s">
        <v>388</v>
      </c>
      <c r="D140" s="7" t="s">
        <v>620</v>
      </c>
      <c r="E140" s="37" t="str">
        <f t="shared" si="6"/>
        <v>TOC-Part (Tocpt)</v>
      </c>
      <c r="F140" s="5">
        <v>1</v>
      </c>
      <c r="G140" s="7" t="b">
        <v>0</v>
      </c>
      <c r="H140" s="5">
        <v>1</v>
      </c>
      <c r="I140" s="5" t="s">
        <v>66</v>
      </c>
      <c r="J140" s="5">
        <v>12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48" t="s">
        <v>660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U140" s="63" t="str">
        <f t="shared" si="8"/>
        <v>.TOC-PartTocpt</v>
      </c>
    </row>
    <row r="141" spans="1:102">
      <c r="A141" s="37" t="str">
        <f t="shared" si="5"/>
        <v>TOC-Chapter (Tocch)</v>
      </c>
      <c r="C141" s="7" t="s">
        <v>389</v>
      </c>
      <c r="D141" s="7" t="s">
        <v>621</v>
      </c>
      <c r="E141" s="37" t="str">
        <f t="shared" si="6"/>
        <v>TOC-Chapter (Tocch)</v>
      </c>
      <c r="F141" s="5">
        <v>1</v>
      </c>
      <c r="G141" s="7" t="b">
        <v>0</v>
      </c>
      <c r="H141" s="5">
        <v>1</v>
      </c>
      <c r="I141" s="5" t="s">
        <v>66</v>
      </c>
      <c r="J141" s="5">
        <v>12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48" t="s">
        <v>660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3" t="str">
        <f t="shared" si="8"/>
        <v>.TOC-ChapterTocch</v>
      </c>
    </row>
    <row r="142" spans="1:102">
      <c r="A142" s="37" t="str">
        <f t="shared" si="5"/>
        <v>TOC-Subhead (Tocsub)</v>
      </c>
      <c r="C142" s="7" t="s">
        <v>390</v>
      </c>
      <c r="D142" s="7" t="s">
        <v>627</v>
      </c>
      <c r="E142" s="37" t="str">
        <f t="shared" si="6"/>
        <v>TOC-Subhead (Tocsub)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48" t="s">
        <v>660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3" t="str">
        <f t="shared" si="8"/>
        <v>.TOC-SubheadTocsub</v>
      </c>
    </row>
    <row r="143" spans="1:102">
      <c r="A143" s="37" t="str">
        <f t="shared" si="5"/>
        <v>TOC-Backmatter (Tocbm)</v>
      </c>
      <c r="C143" s="7" t="s">
        <v>391</v>
      </c>
      <c r="D143" s="7" t="s">
        <v>622</v>
      </c>
      <c r="E143" s="37" t="str">
        <f t="shared" si="6"/>
        <v>TOC-Backmatter (Tocbm)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0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48" t="s">
        <v>660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3" t="str">
        <f t="shared" si="8"/>
        <v>.TOC-BackmatterTocbm</v>
      </c>
    </row>
    <row r="144" spans="1:102">
      <c r="A144" s="37" t="str">
        <f t="shared" si="5"/>
        <v>Blank-Space-Break (Bsbrk)</v>
      </c>
      <c r="C144" s="7" t="s">
        <v>506</v>
      </c>
      <c r="D144" s="7" t="s">
        <v>507</v>
      </c>
      <c r="E144" s="7" t="s">
        <v>426</v>
      </c>
      <c r="F144" s="5">
        <v>1</v>
      </c>
      <c r="G144" s="7" t="b">
        <v>1</v>
      </c>
      <c r="H144" s="5">
        <v>1</v>
      </c>
      <c r="I144" s="5" t="s">
        <v>66</v>
      </c>
      <c r="J144" s="5">
        <v>12</v>
      </c>
      <c r="K144" s="7" t="b">
        <v>0</v>
      </c>
      <c r="L144" s="5" t="b">
        <v>0</v>
      </c>
      <c r="M144" s="8" t="s">
        <v>70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0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1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1</v>
      </c>
      <c r="AO144" s="40" t="s">
        <v>70</v>
      </c>
      <c r="AP144" s="5">
        <v>1</v>
      </c>
      <c r="AQ144" s="5">
        <v>24</v>
      </c>
      <c r="AR144" s="5" t="b">
        <v>1</v>
      </c>
      <c r="AS144" s="40" t="s">
        <v>70</v>
      </c>
      <c r="AT144" s="5">
        <v>3</v>
      </c>
      <c r="AU144" s="7">
        <v>18</v>
      </c>
      <c r="AV144" s="5" t="b">
        <v>1</v>
      </c>
      <c r="AW144" s="40" t="s">
        <v>70</v>
      </c>
      <c r="AX144" s="5">
        <v>1</v>
      </c>
      <c r="AY144" s="5">
        <v>24</v>
      </c>
      <c r="AZ144" s="5" t="b">
        <v>1</v>
      </c>
      <c r="BA144" s="40" t="s">
        <v>70</v>
      </c>
      <c r="BB144" s="5">
        <v>3</v>
      </c>
      <c r="BC144" s="7">
        <v>18</v>
      </c>
      <c r="BD144" s="5">
        <v>4</v>
      </c>
      <c r="BE144" s="5">
        <v>4</v>
      </c>
      <c r="BF144" s="5">
        <v>1</v>
      </c>
      <c r="BG144" s="5">
        <v>1</v>
      </c>
      <c r="BH144" s="39" t="s">
        <v>663</v>
      </c>
      <c r="BL144" s="36"/>
      <c r="BM144" s="5" t="s">
        <v>0</v>
      </c>
      <c r="BN144" s="5">
        <v>0</v>
      </c>
      <c r="BO144" s="5" t="b">
        <v>0</v>
      </c>
      <c r="CU144" s="63" t="str">
        <f t="shared" si="8"/>
        <v>.Blank-Space-BreakBsbrk</v>
      </c>
      <c r="CX144" s="7" t="s">
        <v>781</v>
      </c>
    </row>
    <row r="145" spans="1:103">
      <c r="A145" s="37" t="str">
        <f t="shared" si="5"/>
        <v>Blank-Space-Break2 (Bsbrk2)</v>
      </c>
      <c r="C145" s="7" t="s">
        <v>754</v>
      </c>
      <c r="D145" s="7" t="s">
        <v>755</v>
      </c>
      <c r="E145" s="7" t="s">
        <v>426</v>
      </c>
      <c r="F145" s="5">
        <v>1</v>
      </c>
      <c r="G145" s="7" t="b">
        <v>1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8" t="s">
        <v>70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1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1</v>
      </c>
      <c r="AO145" s="40" t="s">
        <v>70</v>
      </c>
      <c r="AP145" s="5">
        <v>1</v>
      </c>
      <c r="AQ145" s="5">
        <v>24</v>
      </c>
      <c r="AR145" s="5" t="b">
        <v>1</v>
      </c>
      <c r="AS145" s="40" t="s">
        <v>70</v>
      </c>
      <c r="AT145" s="5">
        <v>7</v>
      </c>
      <c r="AU145" s="7">
        <v>18</v>
      </c>
      <c r="AV145" s="5" t="b">
        <v>1</v>
      </c>
      <c r="AW145" s="40" t="s">
        <v>70</v>
      </c>
      <c r="AX145" s="5">
        <v>1</v>
      </c>
      <c r="AY145" s="5">
        <v>24</v>
      </c>
      <c r="AZ145" s="5" t="b">
        <v>1</v>
      </c>
      <c r="BA145" s="40" t="s">
        <v>70</v>
      </c>
      <c r="BB145" s="5">
        <v>3</v>
      </c>
      <c r="BC145" s="7">
        <v>18</v>
      </c>
      <c r="BD145" s="5">
        <v>4</v>
      </c>
      <c r="BE145" s="5">
        <v>4</v>
      </c>
      <c r="BF145" s="5">
        <v>1</v>
      </c>
      <c r="BG145" s="5">
        <v>1</v>
      </c>
      <c r="BH145" s="39" t="s">
        <v>663</v>
      </c>
      <c r="BL145" s="36"/>
      <c r="BM145" s="5" t="s">
        <v>0</v>
      </c>
      <c r="BN145" s="5">
        <v>0</v>
      </c>
      <c r="BO145" s="5" t="b">
        <v>0</v>
      </c>
      <c r="CU145" s="63" t="str">
        <f t="shared" si="8"/>
        <v>.Blank-Space-Break2Bsbrk2</v>
      </c>
      <c r="CX145" s="7" t="s">
        <v>781</v>
      </c>
    </row>
    <row r="146" spans="1:103">
      <c r="A146" s="37" t="str">
        <f t="shared" si="5"/>
        <v>Ornamental-Space-Break (Osbrk)</v>
      </c>
      <c r="C146" s="7" t="s">
        <v>508</v>
      </c>
      <c r="D146" s="7" t="s">
        <v>509</v>
      </c>
      <c r="E146" s="7" t="s">
        <v>426</v>
      </c>
      <c r="F146" s="5">
        <v>1</v>
      </c>
      <c r="G146" s="7" t="b">
        <v>1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8" t="s">
        <v>70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1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1</v>
      </c>
      <c r="AO146" s="40" t="s">
        <v>70</v>
      </c>
      <c r="AP146" s="5">
        <v>1</v>
      </c>
      <c r="AQ146" s="5">
        <v>24</v>
      </c>
      <c r="AR146" s="5" t="b">
        <v>1</v>
      </c>
      <c r="AS146" s="50" t="s">
        <v>70</v>
      </c>
      <c r="AT146" s="5">
        <v>3</v>
      </c>
      <c r="AU146" s="7">
        <v>18</v>
      </c>
      <c r="AV146" s="5" t="b">
        <v>1</v>
      </c>
      <c r="AW146" s="50" t="s">
        <v>70</v>
      </c>
      <c r="AX146" s="5">
        <v>1</v>
      </c>
      <c r="AY146" s="5">
        <v>24</v>
      </c>
      <c r="AZ146" s="5" t="b">
        <v>1</v>
      </c>
      <c r="BA146" s="50" t="s">
        <v>70</v>
      </c>
      <c r="BB146" s="5">
        <v>3</v>
      </c>
      <c r="BC146" s="7">
        <v>18</v>
      </c>
      <c r="BD146" s="5">
        <v>4</v>
      </c>
      <c r="BE146" s="5">
        <v>4</v>
      </c>
      <c r="BF146" s="5">
        <v>1</v>
      </c>
      <c r="BG146" s="5">
        <v>1</v>
      </c>
      <c r="BH146" s="39" t="s">
        <v>663</v>
      </c>
      <c r="BL146" s="36"/>
      <c r="BM146" s="5" t="s">
        <v>0</v>
      </c>
      <c r="BN146" s="5">
        <v>0</v>
      </c>
      <c r="BO146" s="5" t="b">
        <v>0</v>
      </c>
      <c r="CU146" s="63" t="str">
        <f t="shared" si="8"/>
        <v>.Ornamental-Space-BreakOsbrk</v>
      </c>
      <c r="CX146" s="7" t="s">
        <v>782</v>
      </c>
    </row>
    <row r="147" spans="1:103">
      <c r="A147" s="37" t="str">
        <f t="shared" si="5"/>
        <v>Ornamental-Space-Break2 (Osbrk2)</v>
      </c>
      <c r="C147" s="7" t="s">
        <v>756</v>
      </c>
      <c r="D147" s="7" t="s">
        <v>757</v>
      </c>
      <c r="E147" s="7" t="s">
        <v>426</v>
      </c>
      <c r="F147" s="5">
        <v>1</v>
      </c>
      <c r="G147" s="7" t="b">
        <v>1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8" t="s">
        <v>70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1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1</v>
      </c>
      <c r="AO147" s="40" t="s">
        <v>70</v>
      </c>
      <c r="AP147" s="5">
        <v>1</v>
      </c>
      <c r="AQ147" s="5">
        <v>24</v>
      </c>
      <c r="AR147" s="5" t="b">
        <v>1</v>
      </c>
      <c r="AS147" s="50" t="s">
        <v>70</v>
      </c>
      <c r="AT147" s="5">
        <v>7</v>
      </c>
      <c r="AU147" s="7">
        <v>18</v>
      </c>
      <c r="AV147" s="5" t="b">
        <v>1</v>
      </c>
      <c r="AW147" s="50" t="s">
        <v>70</v>
      </c>
      <c r="AX147" s="5">
        <v>1</v>
      </c>
      <c r="AY147" s="5">
        <v>24</v>
      </c>
      <c r="AZ147" s="5" t="b">
        <v>1</v>
      </c>
      <c r="BA147" s="50" t="s">
        <v>70</v>
      </c>
      <c r="BB147" s="5">
        <v>3</v>
      </c>
      <c r="BC147" s="7">
        <v>18</v>
      </c>
      <c r="BD147" s="5">
        <v>4</v>
      </c>
      <c r="BE147" s="5">
        <v>4</v>
      </c>
      <c r="BF147" s="5">
        <v>1</v>
      </c>
      <c r="BG147" s="5">
        <v>1</v>
      </c>
      <c r="BH147" s="39" t="s">
        <v>663</v>
      </c>
      <c r="BL147" s="36"/>
      <c r="BM147" s="5" t="s">
        <v>0</v>
      </c>
      <c r="BN147" s="5">
        <v>0</v>
      </c>
      <c r="BO147" s="5" t="b">
        <v>0</v>
      </c>
      <c r="CU147" s="63" t="str">
        <f t="shared" si="8"/>
        <v>.Ornamental-Space-Break2Osbrk2</v>
      </c>
      <c r="CX147" s="7" t="s">
        <v>786</v>
      </c>
    </row>
    <row r="148" spans="1:103">
      <c r="A148" s="37" t="str">
        <f t="shared" si="5"/>
        <v>Separator (Sep)</v>
      </c>
      <c r="C148" s="7" t="s">
        <v>510</v>
      </c>
      <c r="D148" s="7" t="s">
        <v>511</v>
      </c>
      <c r="E148" s="7" t="s">
        <v>426</v>
      </c>
      <c r="F148" s="5">
        <v>1</v>
      </c>
      <c r="G148" s="7" t="b">
        <v>1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8" t="s">
        <v>70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1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1</v>
      </c>
      <c r="AO148" s="40" t="s">
        <v>70</v>
      </c>
      <c r="AP148" s="5">
        <v>1</v>
      </c>
      <c r="AQ148" s="5">
        <v>24</v>
      </c>
      <c r="AR148" s="5" t="b">
        <v>1</v>
      </c>
      <c r="AS148" s="50" t="s">
        <v>70</v>
      </c>
      <c r="AT148" s="5">
        <v>3</v>
      </c>
      <c r="AU148" s="7">
        <v>18</v>
      </c>
      <c r="AV148" s="5" t="b">
        <v>1</v>
      </c>
      <c r="AW148" s="50" t="s">
        <v>70</v>
      </c>
      <c r="AX148" s="5">
        <v>1</v>
      </c>
      <c r="AY148" s="5">
        <v>24</v>
      </c>
      <c r="AZ148" s="5" t="b">
        <v>1</v>
      </c>
      <c r="BA148" s="50" t="s">
        <v>70</v>
      </c>
      <c r="BB148" s="5">
        <v>3</v>
      </c>
      <c r="BC148" s="7">
        <v>18</v>
      </c>
      <c r="BD148" s="5">
        <v>4</v>
      </c>
      <c r="BE148" s="5">
        <v>4</v>
      </c>
      <c r="BF148" s="5">
        <v>1</v>
      </c>
      <c r="BG148" s="5">
        <v>1</v>
      </c>
      <c r="BH148" s="39" t="s">
        <v>663</v>
      </c>
      <c r="BL148" s="36"/>
      <c r="BM148" s="5" t="s">
        <v>0</v>
      </c>
      <c r="BN148" s="5">
        <v>0</v>
      </c>
      <c r="BO148" s="5" t="b">
        <v>0</v>
      </c>
      <c r="CP148" s="7" t="b">
        <v>1</v>
      </c>
      <c r="CU148" s="63" t="str">
        <f t="shared" si="8"/>
        <v>.SeparatorSep</v>
      </c>
      <c r="CX148" s="7" t="s">
        <v>783</v>
      </c>
    </row>
    <row r="149" spans="1:103">
      <c r="A149" s="37" t="str">
        <f t="shared" si="5"/>
        <v>Design-Note (Dn)</v>
      </c>
      <c r="C149" s="7" t="s">
        <v>392</v>
      </c>
      <c r="D149" s="7" t="s">
        <v>393</v>
      </c>
      <c r="E149" s="37" t="str">
        <f t="shared" ref="E149:E151" si="9">IF($D149="","",TRIM($C149)&amp;" "&amp;CHAR(40)&amp;TRIM($D149)&amp;CHAR(41))</f>
        <v>Design-Note (Dn)</v>
      </c>
      <c r="F149" s="5">
        <v>1</v>
      </c>
      <c r="G149" s="7" t="b">
        <v>1</v>
      </c>
      <c r="H149" s="5">
        <v>1</v>
      </c>
      <c r="I149" s="5" t="s">
        <v>71</v>
      </c>
      <c r="J149" s="5">
        <v>11</v>
      </c>
      <c r="K149" s="7" t="b">
        <v>0</v>
      </c>
      <c r="L149" s="5" t="b">
        <v>0</v>
      </c>
      <c r="M149" s="8" t="s">
        <v>70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36</v>
      </c>
      <c r="AK149" s="7">
        <v>10</v>
      </c>
      <c r="AL149" s="7" t="b">
        <v>0</v>
      </c>
      <c r="AM149" s="5" t="b">
        <v>0</v>
      </c>
      <c r="AN149" s="5" t="b">
        <v>1</v>
      </c>
      <c r="AO149" s="40" t="s">
        <v>70</v>
      </c>
      <c r="AP149" s="5">
        <v>1</v>
      </c>
      <c r="AQ149" s="5">
        <v>24</v>
      </c>
      <c r="AR149" s="5" t="b">
        <v>1</v>
      </c>
      <c r="AS149" s="50" t="s">
        <v>70</v>
      </c>
      <c r="AT149" s="5">
        <v>1</v>
      </c>
      <c r="AU149" s="7">
        <v>24</v>
      </c>
      <c r="AV149" s="5" t="b">
        <v>1</v>
      </c>
      <c r="AW149" s="50" t="s">
        <v>70</v>
      </c>
      <c r="AX149" s="5">
        <v>1</v>
      </c>
      <c r="AY149" s="5">
        <v>24</v>
      </c>
      <c r="AZ149" s="5" t="b">
        <v>1</v>
      </c>
      <c r="BA149" s="50" t="s">
        <v>70</v>
      </c>
      <c r="BB149" s="5">
        <v>1</v>
      </c>
      <c r="BC149" s="5">
        <v>24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P149" s="7" t="b">
        <v>1</v>
      </c>
      <c r="CU149" s="63" t="str">
        <f t="shared" si="8"/>
        <v>.Design-NoteDn</v>
      </c>
    </row>
    <row r="150" spans="1:103">
      <c r="A150" s="37" t="str">
        <f t="shared" si="5"/>
        <v>Bookmaker-Processing-Instruction (Bpi)</v>
      </c>
      <c r="C150" s="7" t="s">
        <v>394</v>
      </c>
      <c r="D150" s="7" t="s">
        <v>395</v>
      </c>
      <c r="E150" s="37" t="str">
        <f t="shared" si="9"/>
        <v>Bookmaker-Processing-Instruction (Bpi)</v>
      </c>
      <c r="F150" s="5">
        <v>1</v>
      </c>
      <c r="G150" s="7" t="b">
        <v>0</v>
      </c>
      <c r="H150" s="5">
        <v>1</v>
      </c>
      <c r="I150" s="5" t="s">
        <v>71</v>
      </c>
      <c r="J150" s="5">
        <v>11</v>
      </c>
      <c r="K150" s="7" t="b">
        <v>0</v>
      </c>
      <c r="L150" s="5" t="b">
        <v>0</v>
      </c>
      <c r="M150" s="8" t="s">
        <v>70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36</v>
      </c>
      <c r="AK150" s="7">
        <v>10</v>
      </c>
      <c r="AL150" s="7" t="b">
        <v>0</v>
      </c>
      <c r="AM150" s="5" t="b">
        <v>0</v>
      </c>
      <c r="AN150" s="5" t="b">
        <v>1</v>
      </c>
      <c r="AO150" s="40" t="s">
        <v>70</v>
      </c>
      <c r="AP150" s="5">
        <v>1</v>
      </c>
      <c r="AQ150" s="5">
        <v>24</v>
      </c>
      <c r="AR150" s="5" t="b">
        <v>1</v>
      </c>
      <c r="AS150" s="50" t="s">
        <v>70</v>
      </c>
      <c r="AT150" s="5">
        <v>1</v>
      </c>
      <c r="AU150" s="7">
        <v>24</v>
      </c>
      <c r="AV150" s="5" t="b">
        <v>1</v>
      </c>
      <c r="AW150" s="50" t="s">
        <v>70</v>
      </c>
      <c r="AX150" s="5">
        <v>1</v>
      </c>
      <c r="AY150" s="5">
        <v>24</v>
      </c>
      <c r="AZ150" s="5" t="b">
        <v>1</v>
      </c>
      <c r="BA150" s="50" t="s">
        <v>70</v>
      </c>
      <c r="BB150" s="5">
        <v>1</v>
      </c>
      <c r="BC150" s="5">
        <v>24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P150" s="7" t="b">
        <v>1</v>
      </c>
      <c r="CU150" s="63" t="str">
        <f t="shared" si="8"/>
        <v>.Bookmaker-Processing-InstructionBpi</v>
      </c>
    </row>
    <row r="151" spans="1:103">
      <c r="A151" s="37" t="str">
        <f t="shared" si="5"/>
        <v>Ebook-Only-Text (Eonly)</v>
      </c>
      <c r="C151" s="7" t="s">
        <v>512</v>
      </c>
      <c r="D151" s="7" t="s">
        <v>513</v>
      </c>
      <c r="E151" s="37" t="str">
        <f t="shared" si="9"/>
        <v>Ebook-Only-Text (Eonly)</v>
      </c>
      <c r="F151" s="5">
        <v>1</v>
      </c>
      <c r="G151" s="7" t="b">
        <v>0</v>
      </c>
      <c r="H151" s="5">
        <v>1</v>
      </c>
      <c r="I151" s="5" t="s">
        <v>1</v>
      </c>
      <c r="J151" s="5">
        <v>11</v>
      </c>
      <c r="K151" s="7" t="b">
        <v>0</v>
      </c>
      <c r="L151" s="5" t="b">
        <v>0</v>
      </c>
      <c r="M151" s="8" t="s">
        <v>70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36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51" t="s">
        <v>661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P151" s="7" t="b">
        <v>1</v>
      </c>
      <c r="CU151" s="63" t="str">
        <f t="shared" si="8"/>
        <v>.Ebook-Only-TextEonly</v>
      </c>
    </row>
    <row r="152" spans="1:103">
      <c r="A152" s="37" t="str">
        <f t="shared" si="5"/>
        <v>EXTRACT-A (EXT-A)</v>
      </c>
      <c r="C152" s="7" t="s">
        <v>396</v>
      </c>
      <c r="D152" s="7" t="s">
        <v>397</v>
      </c>
      <c r="E152" s="7" t="s">
        <v>426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18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6" t="s">
        <v>673</v>
      </c>
      <c r="AP152" s="5">
        <v>1</v>
      </c>
      <c r="AQ152" s="5">
        <v>12</v>
      </c>
      <c r="AR152" s="5" t="b">
        <v>1</v>
      </c>
      <c r="AS152" s="46" t="s">
        <v>673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1</v>
      </c>
      <c r="BA152" s="46" t="s">
        <v>673</v>
      </c>
      <c r="BB152" s="5">
        <v>1</v>
      </c>
      <c r="BC152" s="7">
        <v>36</v>
      </c>
      <c r="BD152" s="5">
        <v>4</v>
      </c>
      <c r="BE152" s="5">
        <v>4</v>
      </c>
      <c r="BF152" s="5">
        <v>1</v>
      </c>
      <c r="BG152" s="5">
        <v>1</v>
      </c>
      <c r="BH152" s="53" t="s">
        <v>740</v>
      </c>
      <c r="BL152" s="36"/>
      <c r="BM152" s="5" t="s">
        <v>0</v>
      </c>
      <c r="BN152" s="7">
        <v>0</v>
      </c>
      <c r="BO152" s="5" t="b">
        <v>0</v>
      </c>
      <c r="BZ152" s="7" t="s">
        <v>709</v>
      </c>
      <c r="CU152" s="63" t="str">
        <f t="shared" si="8"/>
        <v>.EXTRACT-AEXT-A</v>
      </c>
      <c r="CY152" s="7" t="s">
        <v>396</v>
      </c>
    </row>
    <row r="153" spans="1:103">
      <c r="A153" s="37" t="str">
        <f t="shared" si="5"/>
        <v>EXTRACT-B (EXT-B)</v>
      </c>
      <c r="C153" s="7" t="s">
        <v>516</v>
      </c>
      <c r="D153" s="7" t="s">
        <v>519</v>
      </c>
      <c r="E153" s="7" t="s">
        <v>426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18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6" t="s">
        <v>673</v>
      </c>
      <c r="AP153" s="5">
        <v>1</v>
      </c>
      <c r="AQ153" s="5">
        <v>12</v>
      </c>
      <c r="AR153" s="5" t="b">
        <v>1</v>
      </c>
      <c r="AS153" s="46" t="s">
        <v>673</v>
      </c>
      <c r="AT153" s="5">
        <v>7</v>
      </c>
      <c r="AU153" s="7">
        <v>18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1</v>
      </c>
      <c r="BA153" s="46" t="s">
        <v>673</v>
      </c>
      <c r="BB153" s="5">
        <v>7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53" t="s">
        <v>740</v>
      </c>
      <c r="BL153" s="36"/>
      <c r="BM153" s="5" t="s">
        <v>0</v>
      </c>
      <c r="BN153" s="7">
        <v>0</v>
      </c>
      <c r="BO153" s="5" t="b">
        <v>0</v>
      </c>
      <c r="BZ153" s="7" t="s">
        <v>709</v>
      </c>
      <c r="CU153" s="63" t="str">
        <f t="shared" si="8"/>
        <v>.EXTRACT-BEXT-B</v>
      </c>
      <c r="CY153" s="7" t="s">
        <v>516</v>
      </c>
    </row>
    <row r="154" spans="1:103">
      <c r="A154" s="37" t="str">
        <f t="shared" si="5"/>
        <v>EXTRACT-C (EXT-C)</v>
      </c>
      <c r="C154" s="7" t="s">
        <v>515</v>
      </c>
      <c r="D154" s="7" t="s">
        <v>518</v>
      </c>
      <c r="E154" s="7" t="s">
        <v>426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18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6" t="s">
        <v>673</v>
      </c>
      <c r="AP154" s="5">
        <v>1</v>
      </c>
      <c r="AQ154" s="5">
        <v>12</v>
      </c>
      <c r="AR154" s="5" t="b">
        <v>1</v>
      </c>
      <c r="AS154" s="46" t="s">
        <v>673</v>
      </c>
      <c r="AT154" s="5">
        <v>8</v>
      </c>
      <c r="AU154" s="7">
        <v>18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1</v>
      </c>
      <c r="BA154" s="46" t="s">
        <v>673</v>
      </c>
      <c r="BB154" s="5">
        <v>8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53" t="s">
        <v>740</v>
      </c>
      <c r="BL154" s="36"/>
      <c r="BM154" s="5" t="s">
        <v>0</v>
      </c>
      <c r="BN154" s="7">
        <v>0</v>
      </c>
      <c r="BO154" s="5" t="b">
        <v>0</v>
      </c>
      <c r="BZ154" s="7" t="s">
        <v>709</v>
      </c>
      <c r="CU154" s="63" t="str">
        <f t="shared" si="8"/>
        <v>.EXTRACT-CEXT-C</v>
      </c>
      <c r="CY154" s="7" t="s">
        <v>515</v>
      </c>
    </row>
    <row r="155" spans="1:103">
      <c r="A155" s="37" t="str">
        <f t="shared" si="5"/>
        <v>EXTRACT-D (EXT-D)</v>
      </c>
      <c r="C155" s="7" t="s">
        <v>514</v>
      </c>
      <c r="D155" s="7" t="s">
        <v>517</v>
      </c>
      <c r="E155" s="7" t="s">
        <v>426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65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18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46" t="s">
        <v>673</v>
      </c>
      <c r="AP155" s="5">
        <v>1</v>
      </c>
      <c r="AQ155" s="5">
        <v>12</v>
      </c>
      <c r="AR155" s="5" t="b">
        <v>1</v>
      </c>
      <c r="AS155" s="46" t="s">
        <v>673</v>
      </c>
      <c r="AT155" s="5">
        <v>12</v>
      </c>
      <c r="AU155" s="7">
        <v>36</v>
      </c>
      <c r="AV155" s="5" t="b">
        <v>0</v>
      </c>
      <c r="AW155" s="6" t="s">
        <v>65</v>
      </c>
      <c r="AX155" s="5">
        <v>0</v>
      </c>
      <c r="AY155" s="5">
        <v>6</v>
      </c>
      <c r="AZ155" s="5" t="b">
        <v>1</v>
      </c>
      <c r="BA155" s="46" t="s">
        <v>673</v>
      </c>
      <c r="BB155" s="5">
        <v>12</v>
      </c>
      <c r="BC155" s="7">
        <v>36</v>
      </c>
      <c r="BD155" s="5">
        <v>4</v>
      </c>
      <c r="BE155" s="5">
        <v>4</v>
      </c>
      <c r="BF155" s="5">
        <v>1</v>
      </c>
      <c r="BG155" s="5">
        <v>1</v>
      </c>
      <c r="BH155" s="53" t="s">
        <v>740</v>
      </c>
      <c r="BL155" s="36"/>
      <c r="BM155" s="5" t="s">
        <v>0</v>
      </c>
      <c r="BN155" s="7">
        <v>0</v>
      </c>
      <c r="BO155" s="5" t="b">
        <v>0</v>
      </c>
      <c r="BZ155" s="7" t="s">
        <v>709</v>
      </c>
      <c r="CU155" s="63" t="str">
        <f t="shared" si="8"/>
        <v>.EXTRACT-DEXT-D</v>
      </c>
      <c r="CY155" s="7" t="s">
        <v>514</v>
      </c>
    </row>
    <row r="156" spans="1:103">
      <c r="A156" s="37" t="str">
        <f t="shared" si="5"/>
        <v>BOX-A (BOX-A)</v>
      </c>
      <c r="C156" s="7" t="s">
        <v>520</v>
      </c>
      <c r="D156" s="7" t="s">
        <v>520</v>
      </c>
      <c r="E156" s="7" t="s">
        <v>426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65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18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46" t="s">
        <v>673</v>
      </c>
      <c r="AP156" s="5">
        <v>1</v>
      </c>
      <c r="AQ156" s="5">
        <v>12</v>
      </c>
      <c r="AR156" s="5" t="b">
        <v>1</v>
      </c>
      <c r="AS156" s="46" t="s">
        <v>673</v>
      </c>
      <c r="AT156" s="5">
        <v>1</v>
      </c>
      <c r="AU156" s="7">
        <v>36</v>
      </c>
      <c r="AV156" s="5" t="b">
        <v>0</v>
      </c>
      <c r="AW156" s="6" t="s">
        <v>65</v>
      </c>
      <c r="AX156" s="5">
        <v>0</v>
      </c>
      <c r="AY156" s="5">
        <v>6</v>
      </c>
      <c r="AZ156" s="5" t="b">
        <v>1</v>
      </c>
      <c r="BA156" s="46" t="s">
        <v>673</v>
      </c>
      <c r="BB156" s="5">
        <v>1</v>
      </c>
      <c r="BC156" s="7">
        <v>36</v>
      </c>
      <c r="BD156" s="5">
        <v>4</v>
      </c>
      <c r="BE156" s="5">
        <v>4</v>
      </c>
      <c r="BF156" s="5">
        <v>1</v>
      </c>
      <c r="BG156" s="5">
        <v>1</v>
      </c>
      <c r="BH156" s="53" t="s">
        <v>740</v>
      </c>
      <c r="BL156" s="36"/>
      <c r="BM156" s="5" t="s">
        <v>0</v>
      </c>
      <c r="BN156" s="7">
        <v>0</v>
      </c>
      <c r="BO156" s="5" t="b">
        <v>0</v>
      </c>
      <c r="BZ156" s="7" t="s">
        <v>711</v>
      </c>
      <c r="CU156" s="63" t="str">
        <f t="shared" si="8"/>
        <v>.BOX-ABOX-A</v>
      </c>
      <c r="CY156" s="7" t="s">
        <v>520</v>
      </c>
    </row>
    <row r="157" spans="1:103">
      <c r="A157" s="37" t="str">
        <f t="shared" si="5"/>
        <v>BOX-B (BOX-B)</v>
      </c>
      <c r="C157" s="7" t="s">
        <v>521</v>
      </c>
      <c r="D157" s="7" t="s">
        <v>521</v>
      </c>
      <c r="E157" s="7" t="s">
        <v>426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65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18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46" t="s">
        <v>673</v>
      </c>
      <c r="AP157" s="5">
        <v>1</v>
      </c>
      <c r="AQ157" s="5">
        <v>12</v>
      </c>
      <c r="AR157" s="5" t="b">
        <v>1</v>
      </c>
      <c r="AS157" s="46" t="s">
        <v>673</v>
      </c>
      <c r="AT157" s="5">
        <v>7</v>
      </c>
      <c r="AU157" s="7">
        <v>18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1</v>
      </c>
      <c r="BA157" s="46" t="s">
        <v>673</v>
      </c>
      <c r="BB157" s="5">
        <v>7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53" t="s">
        <v>740</v>
      </c>
      <c r="BL157" s="36"/>
      <c r="BM157" s="5" t="s">
        <v>0</v>
      </c>
      <c r="BN157" s="7">
        <v>0</v>
      </c>
      <c r="BO157" s="5" t="b">
        <v>0</v>
      </c>
      <c r="BZ157" s="7" t="s">
        <v>711</v>
      </c>
      <c r="CU157" s="63" t="str">
        <f t="shared" si="8"/>
        <v>.BOX-BBOX-B</v>
      </c>
      <c r="CY157" s="7" t="s">
        <v>521</v>
      </c>
    </row>
    <row r="158" spans="1:103">
      <c r="A158" s="37" t="str">
        <f t="shared" si="5"/>
        <v>LETTER-A (LTR-A)</v>
      </c>
      <c r="C158" s="7" t="s">
        <v>522</v>
      </c>
      <c r="D158" s="7" t="s">
        <v>523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673</v>
      </c>
      <c r="AP158" s="5">
        <v>1</v>
      </c>
      <c r="AQ158" s="5">
        <v>12</v>
      </c>
      <c r="AR158" s="5" t="b">
        <v>1</v>
      </c>
      <c r="AS158" s="46" t="s">
        <v>673</v>
      </c>
      <c r="AT158" s="5">
        <v>1</v>
      </c>
      <c r="AU158" s="7">
        <v>36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673</v>
      </c>
      <c r="BB158" s="5">
        <v>1</v>
      </c>
      <c r="BC158" s="7">
        <v>36</v>
      </c>
      <c r="BD158" s="5">
        <v>4</v>
      </c>
      <c r="BE158" s="5">
        <v>4</v>
      </c>
      <c r="BF158" s="5">
        <v>1</v>
      </c>
      <c r="BG158" s="5">
        <v>1</v>
      </c>
      <c r="BH158" s="53" t="s">
        <v>740</v>
      </c>
      <c r="BL158" s="36"/>
      <c r="BM158" s="5" t="s">
        <v>0</v>
      </c>
      <c r="BN158" s="7">
        <v>0</v>
      </c>
      <c r="BO158" s="5" t="b">
        <v>0</v>
      </c>
      <c r="BZ158" s="7" t="s">
        <v>712</v>
      </c>
      <c r="CU158" s="63" t="str">
        <f t="shared" si="8"/>
        <v>.LETTER-ALTR-A</v>
      </c>
      <c r="CY158" s="7" t="s">
        <v>522</v>
      </c>
    </row>
    <row r="159" spans="1:103">
      <c r="A159" s="37" t="str">
        <f t="shared" si="5"/>
        <v>LETTER-B (LTR-B)</v>
      </c>
      <c r="C159" s="7" t="s">
        <v>524</v>
      </c>
      <c r="D159" s="7" t="s">
        <v>525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673</v>
      </c>
      <c r="AP159" s="5">
        <v>1</v>
      </c>
      <c r="AQ159" s="5">
        <v>12</v>
      </c>
      <c r="AR159" s="5" t="b">
        <v>1</v>
      </c>
      <c r="AS159" s="46" t="s">
        <v>673</v>
      </c>
      <c r="AT159" s="5">
        <v>7</v>
      </c>
      <c r="AU159" s="7">
        <v>18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673</v>
      </c>
      <c r="BB159" s="5">
        <v>7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53" t="s">
        <v>740</v>
      </c>
      <c r="BL159" s="36"/>
      <c r="BM159" s="5" t="s">
        <v>0</v>
      </c>
      <c r="BN159" s="7">
        <v>0</v>
      </c>
      <c r="BO159" s="5" t="b">
        <v>0</v>
      </c>
      <c r="BZ159" s="7" t="s">
        <v>712</v>
      </c>
      <c r="CU159" s="63" t="str">
        <f t="shared" si="8"/>
        <v>.LETTER-BLTR-B</v>
      </c>
      <c r="CY159" s="7" t="s">
        <v>524</v>
      </c>
    </row>
    <row r="160" spans="1:103">
      <c r="A160" s="37" t="str">
        <f t="shared" si="5"/>
        <v>LETTER-C (LTR-C)</v>
      </c>
      <c r="C160" s="7" t="s">
        <v>526</v>
      </c>
      <c r="D160" s="7" t="s">
        <v>527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673</v>
      </c>
      <c r="AP160" s="5">
        <v>1</v>
      </c>
      <c r="AQ160" s="5">
        <v>12</v>
      </c>
      <c r="AR160" s="5" t="b">
        <v>1</v>
      </c>
      <c r="AS160" s="46" t="s">
        <v>673</v>
      </c>
      <c r="AT160" s="5">
        <v>8</v>
      </c>
      <c r="AU160" s="7">
        <v>18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673</v>
      </c>
      <c r="BB160" s="5">
        <v>8</v>
      </c>
      <c r="BC160" s="7">
        <v>18</v>
      </c>
      <c r="BD160" s="5">
        <v>4</v>
      </c>
      <c r="BE160" s="5">
        <v>4</v>
      </c>
      <c r="BF160" s="5">
        <v>1</v>
      </c>
      <c r="BG160" s="5">
        <v>1</v>
      </c>
      <c r="BH160" s="53" t="s">
        <v>740</v>
      </c>
      <c r="BL160" s="36"/>
      <c r="BM160" s="5" t="s">
        <v>0</v>
      </c>
      <c r="BN160" s="7">
        <v>0</v>
      </c>
      <c r="BO160" s="5" t="b">
        <v>0</v>
      </c>
      <c r="BZ160" s="7" t="s">
        <v>712</v>
      </c>
      <c r="CU160" s="63" t="str">
        <f t="shared" si="8"/>
        <v>.LETTER-CLTR-C</v>
      </c>
      <c r="CY160" s="7" t="s">
        <v>526</v>
      </c>
    </row>
    <row r="161" spans="1:103">
      <c r="A161" s="37" t="str">
        <f t="shared" si="5"/>
        <v>LETTER-D (LTR-D)</v>
      </c>
      <c r="C161" s="7" t="s">
        <v>528</v>
      </c>
      <c r="D161" s="7" t="s">
        <v>529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673</v>
      </c>
      <c r="AP161" s="5">
        <v>1</v>
      </c>
      <c r="AQ161" s="5">
        <v>12</v>
      </c>
      <c r="AR161" s="5" t="b">
        <v>1</v>
      </c>
      <c r="AS161" s="46" t="s">
        <v>673</v>
      </c>
      <c r="AT161" s="5">
        <v>12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673</v>
      </c>
      <c r="BB161" s="5">
        <v>12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5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712</v>
      </c>
      <c r="CU161" s="63" t="str">
        <f t="shared" si="8"/>
        <v>.LETTER-DLTR-D</v>
      </c>
      <c r="CY161" s="7" t="s">
        <v>528</v>
      </c>
    </row>
    <row r="162" spans="1:103">
      <c r="A162" s="37" t="str">
        <f t="shared" si="5"/>
        <v>COMPUTER-A (COM-A)</v>
      </c>
      <c r="C162" s="7" t="s">
        <v>530</v>
      </c>
      <c r="D162" s="7" t="s">
        <v>531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673</v>
      </c>
      <c r="AP162" s="5">
        <v>1</v>
      </c>
      <c r="AQ162" s="5">
        <v>12</v>
      </c>
      <c r="AR162" s="5" t="b">
        <v>1</v>
      </c>
      <c r="AS162" s="46" t="s">
        <v>673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673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713</v>
      </c>
      <c r="CU162" s="63" t="str">
        <f t="shared" si="8"/>
        <v>.COMPUTER-ACOM-A</v>
      </c>
      <c r="CY162" s="7" t="s">
        <v>530</v>
      </c>
    </row>
    <row r="163" spans="1:103">
      <c r="A163" s="37" t="str">
        <f t="shared" si="5"/>
        <v>COMPUTER-B (COM-B)</v>
      </c>
      <c r="C163" s="7" t="s">
        <v>532</v>
      </c>
      <c r="D163" s="7" t="s">
        <v>533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673</v>
      </c>
      <c r="AP163" s="5">
        <v>1</v>
      </c>
      <c r="AQ163" s="5">
        <v>12</v>
      </c>
      <c r="AR163" s="5" t="b">
        <v>1</v>
      </c>
      <c r="AS163" s="46" t="s">
        <v>673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673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713</v>
      </c>
      <c r="CU163" s="63" t="str">
        <f t="shared" si="8"/>
        <v>.COMPUTER-BCOM-B</v>
      </c>
      <c r="CY163" s="7" t="s">
        <v>532</v>
      </c>
    </row>
    <row r="164" spans="1:103">
      <c r="A164" s="37" t="str">
        <f t="shared" si="5"/>
        <v>SIDEBAR-A (SIDE-A)</v>
      </c>
      <c r="C164" s="7" t="s">
        <v>534</v>
      </c>
      <c r="D164" s="7" t="s">
        <v>536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673</v>
      </c>
      <c r="AP164" s="5">
        <v>1</v>
      </c>
      <c r="AQ164" s="5">
        <v>12</v>
      </c>
      <c r="AR164" s="5" t="b">
        <v>1</v>
      </c>
      <c r="AS164" s="46" t="s">
        <v>673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673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4" t="s">
        <v>672</v>
      </c>
      <c r="BL164" s="36"/>
      <c r="BM164" s="5" t="s">
        <v>0</v>
      </c>
      <c r="BN164" s="7">
        <v>0</v>
      </c>
      <c r="BO164" s="5" t="b">
        <v>0</v>
      </c>
      <c r="BZ164" s="7" t="s">
        <v>714</v>
      </c>
      <c r="CU164" s="63" t="str">
        <f t="shared" si="8"/>
        <v>.SIDEBAR-ASIDE-A</v>
      </c>
      <c r="CY164" s="7" t="s">
        <v>534</v>
      </c>
    </row>
    <row r="165" spans="1:103">
      <c r="A165" s="37" t="str">
        <f t="shared" si="5"/>
        <v>SIDEBAR-B (SIDE-B)</v>
      </c>
      <c r="C165" s="7" t="s">
        <v>535</v>
      </c>
      <c r="D165" s="7" t="s">
        <v>537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673</v>
      </c>
      <c r="AP165" s="5">
        <v>1</v>
      </c>
      <c r="AQ165" s="5">
        <v>12</v>
      </c>
      <c r="AR165" s="5" t="b">
        <v>1</v>
      </c>
      <c r="AS165" s="46" t="s">
        <v>673</v>
      </c>
      <c r="AT165" s="5">
        <v>7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673</v>
      </c>
      <c r="BB165" s="5">
        <v>7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54" t="s">
        <v>672</v>
      </c>
      <c r="BL165" s="36"/>
      <c r="BM165" s="5" t="s">
        <v>0</v>
      </c>
      <c r="BN165" s="7">
        <v>0</v>
      </c>
      <c r="BO165" s="5" t="b">
        <v>0</v>
      </c>
      <c r="BZ165" s="7" t="s">
        <v>714</v>
      </c>
      <c r="CU165" s="63" t="str">
        <f t="shared" si="8"/>
        <v>.SIDEBAR-BSIDE-B</v>
      </c>
      <c r="CY165" s="7" t="s">
        <v>535</v>
      </c>
    </row>
    <row r="166" spans="1:103">
      <c r="A166" s="37" t="str">
        <f t="shared" si="5"/>
        <v>PULL-QUOTE (PQ)</v>
      </c>
      <c r="C166" s="7" t="s">
        <v>398</v>
      </c>
      <c r="D166" s="7" t="s">
        <v>399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673</v>
      </c>
      <c r="AP166" s="5">
        <v>1</v>
      </c>
      <c r="AQ166" s="5">
        <v>12</v>
      </c>
      <c r="AR166" s="5" t="b">
        <v>1</v>
      </c>
      <c r="AS166" s="46" t="s">
        <v>673</v>
      </c>
      <c r="AT166" s="5">
        <v>1</v>
      </c>
      <c r="AU166" s="7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673</v>
      </c>
      <c r="BB166" s="5">
        <v>1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54" t="s">
        <v>672</v>
      </c>
      <c r="BL166" s="36"/>
      <c r="BM166" s="5" t="s">
        <v>0</v>
      </c>
      <c r="BN166" s="7">
        <v>0</v>
      </c>
      <c r="BO166" s="5" t="b">
        <v>0</v>
      </c>
      <c r="BZ166" s="7" t="s">
        <v>715</v>
      </c>
      <c r="CU166" s="63" t="str">
        <f t="shared" si="8"/>
        <v>.PULL-QUOTEPQ</v>
      </c>
      <c r="CY166" s="7" t="s">
        <v>398</v>
      </c>
    </row>
    <row r="167" spans="1:103">
      <c r="A167" s="37" t="str">
        <f t="shared" si="5"/>
        <v>IMAGE (IMG)</v>
      </c>
      <c r="C167" s="7" t="s">
        <v>538</v>
      </c>
      <c r="D167" s="7" t="s">
        <v>539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673</v>
      </c>
      <c r="AP167" s="5">
        <v>1</v>
      </c>
      <c r="AQ167" s="5">
        <v>12</v>
      </c>
      <c r="AR167" s="5" t="b">
        <v>1</v>
      </c>
      <c r="AS167" s="46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4" t="s">
        <v>672</v>
      </c>
      <c r="BL167" s="36"/>
      <c r="BM167" s="5" t="s">
        <v>0</v>
      </c>
      <c r="BN167" s="7">
        <v>0</v>
      </c>
      <c r="BO167" s="5" t="b">
        <v>0</v>
      </c>
      <c r="BZ167" s="7" t="s">
        <v>716</v>
      </c>
      <c r="CU167" s="63" t="str">
        <f>"."&amp;SUBSTITUTE(SUBSTITUTE(SUBSTITUTE(SUBSTITUTE(A167, "(",""),")","")," ",""),"#","")</f>
        <v>.IMAGEIMG</v>
      </c>
      <c r="CY167" s="7" t="s">
        <v>538</v>
      </c>
    </row>
    <row r="168" spans="1:103">
      <c r="A168" s="37" t="str">
        <f>IF($D168="","",TRIM($C168)&amp;" "&amp;CHAR(40)&amp;TRIM($D168)&amp;CHAR(41))</f>
        <v>TABLE (TBL)</v>
      </c>
      <c r="C168" s="7" t="s">
        <v>540</v>
      </c>
      <c r="D168" s="7" t="s">
        <v>541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6" t="s">
        <v>673</v>
      </c>
      <c r="AP168" s="5">
        <v>1</v>
      </c>
      <c r="AQ168" s="5">
        <v>12</v>
      </c>
      <c r="AR168" s="5" t="b">
        <v>1</v>
      </c>
      <c r="AS168" s="46" t="s">
        <v>673</v>
      </c>
      <c r="AT168" s="5">
        <v>1</v>
      </c>
      <c r="AU168" s="7">
        <v>36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6" t="s">
        <v>673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4" t="s">
        <v>672</v>
      </c>
      <c r="BL168" s="36"/>
      <c r="BM168" s="5" t="s">
        <v>0</v>
      </c>
      <c r="BN168" s="7">
        <v>0</v>
      </c>
      <c r="BO168" s="5" t="b">
        <v>0</v>
      </c>
      <c r="BZ168" s="7" t="s">
        <v>717</v>
      </c>
      <c r="CU168" s="63" t="str">
        <f t="shared" si="8"/>
        <v>.TABLETBL</v>
      </c>
      <c r="CY168" s="7" t="s">
        <v>540</v>
      </c>
    </row>
    <row r="169" spans="1:103">
      <c r="A169" s="37" t="str">
        <f t="shared" si="5"/>
        <v>RECIPE (REC)</v>
      </c>
      <c r="C169" s="7" t="s">
        <v>574</v>
      </c>
      <c r="D169" s="7" t="s">
        <v>575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6" t="s">
        <v>673</v>
      </c>
      <c r="AP169" s="5">
        <v>1</v>
      </c>
      <c r="AQ169" s="5">
        <v>12</v>
      </c>
      <c r="AR169" s="5" t="b">
        <v>1</v>
      </c>
      <c r="AS169" s="46" t="s">
        <v>673</v>
      </c>
      <c r="AT169" s="5">
        <v>1</v>
      </c>
      <c r="AU169" s="7">
        <v>36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6" t="s">
        <v>673</v>
      </c>
      <c r="BB169" s="5">
        <v>1</v>
      </c>
      <c r="BC169" s="7">
        <v>36</v>
      </c>
      <c r="BD169" s="5">
        <v>4</v>
      </c>
      <c r="BE169" s="5">
        <v>4</v>
      </c>
      <c r="BF169" s="5">
        <v>1</v>
      </c>
      <c r="BG169" s="5">
        <v>1</v>
      </c>
      <c r="BH169" s="5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704</v>
      </c>
      <c r="CU169" s="63" t="str">
        <f t="shared" si="8"/>
        <v>.RECIPEREC</v>
      </c>
      <c r="CY169" s="7" t="s">
        <v>574</v>
      </c>
    </row>
    <row r="170" spans="1:103">
      <c r="A170" s="37" t="str">
        <f t="shared" si="5"/>
        <v>END (END)</v>
      </c>
      <c r="C170" s="7" t="s">
        <v>576</v>
      </c>
      <c r="D170" s="7" t="s">
        <v>576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6</v>
      </c>
      <c r="AF170" s="7">
        <v>18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0</v>
      </c>
      <c r="AO170" s="6" t="s">
        <v>65</v>
      </c>
      <c r="AP170" s="5">
        <v>0</v>
      </c>
      <c r="AQ170" s="5">
        <v>6</v>
      </c>
      <c r="AR170" s="5" t="b">
        <v>1</v>
      </c>
      <c r="AS170" s="25" t="s">
        <v>675</v>
      </c>
      <c r="AT170" s="5">
        <v>1</v>
      </c>
      <c r="AU170" s="5">
        <v>36</v>
      </c>
      <c r="AV170" s="45" t="b">
        <v>1</v>
      </c>
      <c r="AW170" s="25" t="s">
        <v>675</v>
      </c>
      <c r="AX170" s="5">
        <v>1</v>
      </c>
      <c r="AY170" s="5">
        <v>12</v>
      </c>
      <c r="AZ170" s="5" t="b">
        <v>1</v>
      </c>
      <c r="BA170" s="25" t="s">
        <v>675</v>
      </c>
      <c r="BB170" s="5">
        <v>1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55" t="s">
        <v>674</v>
      </c>
      <c r="BL170" s="36"/>
      <c r="BM170" s="5" t="s">
        <v>0</v>
      </c>
      <c r="BN170" s="7">
        <v>0</v>
      </c>
      <c r="BO170" s="5" t="b">
        <v>0</v>
      </c>
      <c r="CA170" s="7" t="b">
        <v>1</v>
      </c>
      <c r="CO170" s="7" t="b">
        <v>1</v>
      </c>
      <c r="CU170" s="63" t="str">
        <f t="shared" si="8"/>
        <v>.ENDEND</v>
      </c>
    </row>
    <row r="171" spans="1:103">
      <c r="A171" s="37" t="str">
        <f t="shared" si="5"/>
        <v>bold (b)</v>
      </c>
      <c r="C171" s="7" t="s">
        <v>400</v>
      </c>
      <c r="D171" s="7" t="s">
        <v>401</v>
      </c>
      <c r="E171" s="37" t="str">
        <f t="shared" ref="E171:E199" si="10">IF($D171="","",TRIM($C171)&amp;" "&amp;CHAR(40)&amp;TRIM($D171)&amp;CHAR(41))</f>
        <v>bold (b)</v>
      </c>
      <c r="F171" s="5">
        <v>2</v>
      </c>
      <c r="G171" s="7" t="b">
        <v>1</v>
      </c>
      <c r="H171" s="5">
        <v>2</v>
      </c>
      <c r="I171" s="5" t="s">
        <v>66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AA171" s="5"/>
      <c r="AB171" s="5"/>
      <c r="BI171" s="6" t="s">
        <v>65</v>
      </c>
      <c r="BJ171" s="5">
        <v>0</v>
      </c>
      <c r="BK171" s="5">
        <v>0</v>
      </c>
      <c r="BL171" s="41" t="s">
        <v>665</v>
      </c>
      <c r="BM171" s="5" t="s">
        <v>69</v>
      </c>
      <c r="BN171" s="5"/>
      <c r="BO171" s="5" t="b">
        <v>0</v>
      </c>
      <c r="CU171" s="63" t="str">
        <f t="shared" si="8"/>
        <v>.boldb</v>
      </c>
    </row>
    <row r="172" spans="1:103">
      <c r="A172" s="37" t="str">
        <f t="shared" si="5"/>
        <v>ital (i)</v>
      </c>
      <c r="C172" s="7" t="s">
        <v>216</v>
      </c>
      <c r="D172" s="7" t="s">
        <v>402</v>
      </c>
      <c r="E172" s="37" t="str">
        <f t="shared" si="10"/>
        <v>ital (i)</v>
      </c>
      <c r="F172" s="5">
        <v>2</v>
      </c>
      <c r="G172" s="7" t="b">
        <v>1</v>
      </c>
      <c r="H172" s="5">
        <v>2</v>
      </c>
      <c r="I172" s="5" t="s">
        <v>66</v>
      </c>
      <c r="J172" s="7">
        <v>12</v>
      </c>
      <c r="K172" s="7" t="b">
        <v>1</v>
      </c>
      <c r="L172" s="5" t="b">
        <v>0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AA172" s="5"/>
      <c r="AB172" s="5"/>
      <c r="BI172" s="6" t="s">
        <v>65</v>
      </c>
      <c r="BJ172" s="5">
        <v>0</v>
      </c>
      <c r="BK172" s="5">
        <v>0</v>
      </c>
      <c r="BL172" s="41" t="s">
        <v>665</v>
      </c>
      <c r="BM172" s="5" t="s">
        <v>69</v>
      </c>
      <c r="BN172" s="5"/>
      <c r="BO172" s="5" t="b">
        <v>0</v>
      </c>
      <c r="CU172" s="63" t="str">
        <f t="shared" si="8"/>
        <v>.itali</v>
      </c>
    </row>
    <row r="173" spans="1:103">
      <c r="A173" s="37" t="str">
        <f t="shared" si="5"/>
        <v>underline (u)</v>
      </c>
      <c r="C173" s="7" t="s">
        <v>403</v>
      </c>
      <c r="D173" s="7" t="s">
        <v>404</v>
      </c>
      <c r="E173" s="37" t="str">
        <f t="shared" si="10"/>
        <v>underline (u)</v>
      </c>
      <c r="F173" s="5">
        <v>2</v>
      </c>
      <c r="G173" s="7" t="b">
        <v>0</v>
      </c>
      <c r="H173" s="5">
        <v>2</v>
      </c>
      <c r="I173" s="5" t="s">
        <v>66</v>
      </c>
      <c r="J173" s="7">
        <v>12</v>
      </c>
      <c r="K173" s="5" t="b">
        <v>0</v>
      </c>
      <c r="L173" s="5" t="b">
        <v>0</v>
      </c>
      <c r="M173" s="6" t="s">
        <v>65</v>
      </c>
      <c r="N173" s="5" t="b">
        <v>1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AA173" s="5"/>
      <c r="AB173" s="5"/>
      <c r="BI173" s="6" t="s">
        <v>65</v>
      </c>
      <c r="BJ173" s="5">
        <v>0</v>
      </c>
      <c r="BK173" s="5">
        <v>0</v>
      </c>
      <c r="BL173" s="41" t="s">
        <v>665</v>
      </c>
      <c r="BM173" s="5" t="s">
        <v>69</v>
      </c>
      <c r="BN173" s="5"/>
      <c r="BO173" s="5" t="b">
        <v>0</v>
      </c>
      <c r="CU173" s="63" t="str">
        <f t="shared" si="8"/>
        <v>.underlineu</v>
      </c>
    </row>
    <row r="174" spans="1:103">
      <c r="A174" s="37" t="str">
        <f t="shared" si="5"/>
        <v>smallcaps (sc)</v>
      </c>
      <c r="C174" s="7" t="s">
        <v>405</v>
      </c>
      <c r="D174" s="7" t="s">
        <v>570</v>
      </c>
      <c r="E174" s="37" t="str">
        <f t="shared" si="10"/>
        <v>smallcaps (sc)</v>
      </c>
      <c r="F174" s="5">
        <v>2</v>
      </c>
      <c r="G174" s="7" t="b">
        <v>1</v>
      </c>
      <c r="H174" s="5">
        <v>2</v>
      </c>
      <c r="I174" s="5" t="s">
        <v>66</v>
      </c>
      <c r="J174" s="7">
        <v>12</v>
      </c>
      <c r="K174" s="5" t="b">
        <v>0</v>
      </c>
      <c r="L174" s="5" t="b">
        <v>0</v>
      </c>
      <c r="M174" s="6" t="s">
        <v>65</v>
      </c>
      <c r="N174" s="5" t="b">
        <v>0</v>
      </c>
      <c r="O174" s="5" t="b">
        <v>1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AA174" s="5"/>
      <c r="AB174" s="5"/>
      <c r="BI174" s="6" t="s">
        <v>65</v>
      </c>
      <c r="BJ174" s="5">
        <v>0</v>
      </c>
      <c r="BK174" s="5">
        <v>0</v>
      </c>
      <c r="BL174" s="41" t="s">
        <v>665</v>
      </c>
      <c r="BM174" s="5" t="s">
        <v>69</v>
      </c>
      <c r="BN174" s="5"/>
      <c r="BO174" s="5" t="b">
        <v>0</v>
      </c>
      <c r="CU174" s="63" t="str">
        <f t="shared" si="8"/>
        <v>.smallcapssc</v>
      </c>
    </row>
    <row r="175" spans="1:103">
      <c r="A175" s="37" t="str">
        <f t="shared" si="5"/>
        <v>super (sup)</v>
      </c>
      <c r="C175" s="7" t="s">
        <v>406</v>
      </c>
      <c r="D175" s="7" t="s">
        <v>571</v>
      </c>
      <c r="E175" s="37" t="str">
        <f t="shared" si="10"/>
        <v>super (sup)</v>
      </c>
      <c r="F175" s="5">
        <v>2</v>
      </c>
      <c r="G175" s="7" t="b">
        <v>0</v>
      </c>
      <c r="H175" s="5">
        <v>2</v>
      </c>
      <c r="I175" s="5" t="s">
        <v>66</v>
      </c>
      <c r="J175" s="7">
        <v>12</v>
      </c>
      <c r="K175" s="5" t="b">
        <v>0</v>
      </c>
      <c r="L175" s="5" t="b">
        <v>0</v>
      </c>
      <c r="M175" s="6" t="s">
        <v>65</v>
      </c>
      <c r="N175" s="5" t="b">
        <v>0</v>
      </c>
      <c r="O175" s="5" t="b">
        <v>0</v>
      </c>
      <c r="P175" s="5" t="b">
        <v>1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AA175" s="5"/>
      <c r="AB175" s="5"/>
      <c r="BI175" s="6" t="s">
        <v>65</v>
      </c>
      <c r="BJ175" s="5">
        <v>0</v>
      </c>
      <c r="BK175" s="5">
        <v>0</v>
      </c>
      <c r="BL175" s="41" t="s">
        <v>665</v>
      </c>
      <c r="BM175" s="5" t="s">
        <v>69</v>
      </c>
      <c r="BN175" s="5"/>
      <c r="BO175" s="5" t="b">
        <v>0</v>
      </c>
      <c r="CU175" s="63" t="str">
        <f t="shared" si="8"/>
        <v>.supersup</v>
      </c>
    </row>
    <row r="176" spans="1:103">
      <c r="A176" s="37" t="str">
        <f t="shared" si="5"/>
        <v>sub (sub)</v>
      </c>
      <c r="C176" s="7" t="s">
        <v>217</v>
      </c>
      <c r="D176" s="7" t="s">
        <v>217</v>
      </c>
      <c r="E176" s="37" t="str">
        <f t="shared" si="10"/>
        <v>sub (sub)</v>
      </c>
      <c r="F176" s="5">
        <v>2</v>
      </c>
      <c r="G176" s="7" t="b">
        <v>0</v>
      </c>
      <c r="H176" s="5">
        <v>2</v>
      </c>
      <c r="I176" s="5" t="s">
        <v>66</v>
      </c>
      <c r="J176" s="7">
        <v>12</v>
      </c>
      <c r="K176" s="5" t="b">
        <v>0</v>
      </c>
      <c r="L176" s="5" t="b">
        <v>0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1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AA176" s="5"/>
      <c r="AB176" s="5"/>
      <c r="BI176" s="6" t="s">
        <v>65</v>
      </c>
      <c r="BJ176" s="5">
        <v>0</v>
      </c>
      <c r="BK176" s="5">
        <v>0</v>
      </c>
      <c r="BL176" s="41" t="s">
        <v>665</v>
      </c>
      <c r="BM176" s="5" t="s">
        <v>69</v>
      </c>
      <c r="BN176" s="5"/>
      <c r="BO176" s="5" t="b">
        <v>0</v>
      </c>
      <c r="CU176" s="63" t="str">
        <f t="shared" si="8"/>
        <v>.subsub</v>
      </c>
    </row>
    <row r="177" spans="1:99">
      <c r="A177" s="37" t="str">
        <f t="shared" si="5"/>
        <v>strike (str)</v>
      </c>
      <c r="C177" s="7" t="s">
        <v>407</v>
      </c>
      <c r="D177" s="7" t="s">
        <v>572</v>
      </c>
      <c r="E177" s="37" t="str">
        <f t="shared" si="10"/>
        <v>strike (str)</v>
      </c>
      <c r="F177" s="5">
        <v>2</v>
      </c>
      <c r="G177" s="7" t="b">
        <v>0</v>
      </c>
      <c r="H177" s="5">
        <v>2</v>
      </c>
      <c r="I177" s="5" t="s">
        <v>66</v>
      </c>
      <c r="J177" s="7">
        <v>12</v>
      </c>
      <c r="K177" s="5" t="b">
        <v>0</v>
      </c>
      <c r="L177" s="5" t="b">
        <v>0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1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AA177" s="5"/>
      <c r="AB177" s="5"/>
      <c r="BI177" s="6" t="s">
        <v>65</v>
      </c>
      <c r="BJ177" s="5">
        <v>0</v>
      </c>
      <c r="BK177" s="5">
        <v>0</v>
      </c>
      <c r="BL177" s="41" t="s">
        <v>665</v>
      </c>
      <c r="BM177" s="5" t="s">
        <v>69</v>
      </c>
      <c r="BN177" s="5"/>
      <c r="BO177" s="5" t="b">
        <v>0</v>
      </c>
      <c r="CU177" s="63" t="str">
        <f t="shared" si="8"/>
        <v>.strikestr</v>
      </c>
    </row>
    <row r="178" spans="1:99">
      <c r="A178" s="37" t="str">
        <f t="shared" si="5"/>
        <v>bold-ital (bi)</v>
      </c>
      <c r="C178" s="7" t="s">
        <v>700</v>
      </c>
      <c r="D178" s="7" t="s">
        <v>678</v>
      </c>
      <c r="E178" s="37" t="str">
        <f t="shared" si="10"/>
        <v>bold-ital (bi)</v>
      </c>
      <c r="F178" s="5">
        <v>2</v>
      </c>
      <c r="G178" s="7" t="b">
        <v>0</v>
      </c>
      <c r="H178" s="5">
        <v>2</v>
      </c>
      <c r="I178" s="5" t="s">
        <v>66</v>
      </c>
      <c r="J178" s="7">
        <v>12</v>
      </c>
      <c r="K178" s="7" t="b">
        <v>1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AA178" s="5"/>
      <c r="AB178" s="5"/>
      <c r="BI178" s="6" t="s">
        <v>65</v>
      </c>
      <c r="BJ178" s="5">
        <v>0</v>
      </c>
      <c r="BK178" s="5">
        <v>0</v>
      </c>
      <c r="BL178" s="41" t="s">
        <v>665</v>
      </c>
      <c r="BM178" s="5" t="s">
        <v>69</v>
      </c>
      <c r="BN178" s="5"/>
      <c r="BO178" s="5" t="b">
        <v>0</v>
      </c>
      <c r="CU178" s="63" t="str">
        <f>"."&amp;SUBSTITUTE(SUBSTITUTE(SUBSTITUTE(SUBSTITUTE(A178, "(",""),")","")," ",""),"#","")</f>
        <v>.bold-italbi</v>
      </c>
    </row>
    <row r="179" spans="1:99">
      <c r="A179" s="37" t="str">
        <f>IF($D179="","",TRIM($C179)&amp;" "&amp;CHAR(40)&amp;TRIM($D179)&amp;CHAR(41))</f>
        <v>smallcaps-ital (sci)</v>
      </c>
      <c r="C179" s="7" t="s">
        <v>683</v>
      </c>
      <c r="D179" s="7" t="s">
        <v>679</v>
      </c>
      <c r="E179" s="37" t="str">
        <f>IF($D179="","",TRIM($C179)&amp;" "&amp;CHAR(40)&amp;TRIM($D179)&amp;CHAR(41))</f>
        <v>smallcaps-ital (sci)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7" t="b">
        <v>1</v>
      </c>
      <c r="L179" s="7" t="b">
        <v>0</v>
      </c>
      <c r="M179" s="6" t="s">
        <v>65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I179" s="6" t="s">
        <v>65</v>
      </c>
      <c r="BJ179" s="5">
        <v>0</v>
      </c>
      <c r="BK179" s="5">
        <v>0</v>
      </c>
      <c r="BL179" s="41" t="s">
        <v>665</v>
      </c>
      <c r="BM179" s="5" t="s">
        <v>69</v>
      </c>
      <c r="BO179" s="5" t="b">
        <v>0</v>
      </c>
      <c r="CU179" s="63" t="str">
        <f>"."&amp;SUBSTITUTE(SUBSTITUTE(SUBSTITUTE(SUBSTITUTE(A179, "(",""),")","")," ",""),"#","")</f>
        <v>.smallcaps-italsci</v>
      </c>
    </row>
    <row r="180" spans="1:99">
      <c r="A180" s="37" t="str">
        <f>IF($D180="","",TRIM($C180)&amp;" "&amp;CHAR(40)&amp;TRIM($D180)&amp;CHAR(41))</f>
        <v>smallcaps-bold (scb)</v>
      </c>
      <c r="C180" s="7" t="s">
        <v>681</v>
      </c>
      <c r="D180" s="7" t="s">
        <v>682</v>
      </c>
      <c r="E180" s="37" t="str">
        <f>IF($D180="","",TRIM($C180)&amp;" "&amp;CHAR(40)&amp;TRIM($D180)&amp;CHAR(41))</f>
        <v>smallcaps-bold (scb)</v>
      </c>
      <c r="F180" s="5">
        <v>2</v>
      </c>
      <c r="G180" s="7" t="b">
        <v>0</v>
      </c>
      <c r="H180" s="5">
        <v>2</v>
      </c>
      <c r="I180" s="5" t="s">
        <v>66</v>
      </c>
      <c r="J180" s="7">
        <v>12</v>
      </c>
      <c r="K180" s="7" t="b">
        <v>0</v>
      </c>
      <c r="L180" s="7" t="b">
        <v>1</v>
      </c>
      <c r="M180" s="6" t="s">
        <v>65</v>
      </c>
      <c r="N180" s="5" t="b">
        <v>0</v>
      </c>
      <c r="O180" s="7" t="b">
        <v>1</v>
      </c>
      <c r="P180" s="7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I180" s="6" t="s">
        <v>65</v>
      </c>
      <c r="BJ180" s="5">
        <v>0</v>
      </c>
      <c r="BK180" s="5">
        <v>0</v>
      </c>
      <c r="BL180" s="41" t="s">
        <v>665</v>
      </c>
      <c r="BM180" s="5" t="s">
        <v>69</v>
      </c>
      <c r="BO180" s="5" t="b">
        <v>0</v>
      </c>
      <c r="CU180" s="63" t="str">
        <f>"."&amp;SUBSTITUTE(SUBSTITUTE(SUBSTITUTE(SUBSTITUTE(A180, "(",""),")","")," ",""),"#","")</f>
        <v>.smallcaps-boldscb</v>
      </c>
    </row>
    <row r="181" spans="1:99">
      <c r="A181" s="37" t="str">
        <f>IF($D181="","",TRIM($C181)&amp;" "&amp;CHAR(40)&amp;TRIM($D181)&amp;CHAR(41))</f>
        <v>smallcaps-bold-ital (scbi)</v>
      </c>
      <c r="C181" s="7" t="s">
        <v>684</v>
      </c>
      <c r="D181" s="7" t="s">
        <v>685</v>
      </c>
      <c r="E181" s="37" t="str">
        <f>IF($D181="","",TRIM($C181)&amp;" "&amp;CHAR(40)&amp;TRIM($D181)&amp;CHAR(41))</f>
        <v>smallcaps-bold-ital (scbi)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7" t="b">
        <v>1</v>
      </c>
      <c r="L181" s="7" t="b">
        <v>1</v>
      </c>
      <c r="M181" s="6" t="s">
        <v>65</v>
      </c>
      <c r="N181" s="5" t="b">
        <v>0</v>
      </c>
      <c r="O181" s="7" t="b">
        <v>1</v>
      </c>
      <c r="P181" s="7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BI181" s="6" t="s">
        <v>65</v>
      </c>
      <c r="BJ181" s="5">
        <v>0</v>
      </c>
      <c r="BK181" s="5">
        <v>0</v>
      </c>
      <c r="BL181" s="41" t="s">
        <v>665</v>
      </c>
      <c r="BM181" s="5" t="s">
        <v>69</v>
      </c>
      <c r="BO181" s="5" t="b">
        <v>0</v>
      </c>
      <c r="CU181" s="63" t="str">
        <f>"."&amp;SUBSTITUTE(SUBSTITUTE(SUBSTITUTE(SUBSTITUTE(A181, "(",""),")","")," ",""),"#","")</f>
        <v>.smallcaps-bold-italscbi</v>
      </c>
    </row>
    <row r="182" spans="1:99">
      <c r="A182" s="37" t="str">
        <f>IF($D182="","",TRIM($C182)&amp;" "&amp;CHAR(40)&amp;TRIM($D182)&amp;CHAR(41))</f>
        <v>super-ital (supi)</v>
      </c>
      <c r="C182" s="7" t="s">
        <v>689</v>
      </c>
      <c r="D182" s="7" t="s">
        <v>680</v>
      </c>
      <c r="E182" s="37" t="str">
        <f>IF($D182="","",TRIM($C182)&amp;" "&amp;CHAR(40)&amp;TRIM($D182)&amp;CHAR(41))</f>
        <v>super-ital (supi)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7" t="b">
        <v>1</v>
      </c>
      <c r="L182" s="7" t="b">
        <v>0</v>
      </c>
      <c r="M182" s="6" t="s">
        <v>65</v>
      </c>
      <c r="N182" s="5" t="b">
        <v>0</v>
      </c>
      <c r="O182" s="7" t="b">
        <v>0</v>
      </c>
      <c r="P182" s="7" t="b">
        <v>1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BI182" s="6" t="s">
        <v>65</v>
      </c>
      <c r="BJ182" s="5">
        <v>0</v>
      </c>
      <c r="BK182" s="5">
        <v>0</v>
      </c>
      <c r="BL182" s="41" t="s">
        <v>665</v>
      </c>
      <c r="BM182" s="5" t="s">
        <v>69</v>
      </c>
      <c r="BO182" s="5" t="b">
        <v>0</v>
      </c>
      <c r="CU182" s="63" t="str">
        <f t="shared" si="8"/>
        <v>.super-italsupi</v>
      </c>
    </row>
    <row r="183" spans="1:99">
      <c r="A183" s="37" t="str">
        <f t="shared" si="5"/>
        <v>cstyle1 (cs1)</v>
      </c>
      <c r="C183" s="7" t="s">
        <v>542</v>
      </c>
      <c r="D183" s="7" t="s">
        <v>543</v>
      </c>
      <c r="E183" s="37" t="str">
        <f t="shared" si="10"/>
        <v>cstyle1 (cs1)</v>
      </c>
      <c r="F183" s="5">
        <v>2</v>
      </c>
      <c r="G183" s="7" t="b">
        <v>0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1" t="s">
        <v>665</v>
      </c>
      <c r="BM183" s="5" t="s">
        <v>69</v>
      </c>
      <c r="BN183" s="5"/>
      <c r="BO183" s="5" t="b">
        <v>0</v>
      </c>
      <c r="CU183" s="63" t="str">
        <f t="shared" si="8"/>
        <v>.cstyle1cs1</v>
      </c>
    </row>
    <row r="184" spans="1:99">
      <c r="A184" s="37" t="str">
        <f>IF($D184="","",TRIM($C184)&amp;" "&amp;CHAR(40)&amp;TRIM($D184)&amp;CHAR(41))</f>
        <v>cstyle2 (cs2)</v>
      </c>
      <c r="C184" s="7" t="s">
        <v>544</v>
      </c>
      <c r="D184" s="7" t="s">
        <v>545</v>
      </c>
      <c r="E184" s="37" t="str">
        <f t="shared" si="10"/>
        <v>cstyle2 (cs2)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1" t="s">
        <v>665</v>
      </c>
      <c r="BM184" s="5" t="s">
        <v>69</v>
      </c>
      <c r="BN184" s="5"/>
      <c r="BO184" s="5" t="b">
        <v>0</v>
      </c>
      <c r="CU184" s="63" t="str">
        <f t="shared" si="8"/>
        <v>.cstyle2cs2</v>
      </c>
    </row>
    <row r="185" spans="1:99">
      <c r="A185" s="37" t="str">
        <f t="shared" si="5"/>
        <v>cs-head (cshd)</v>
      </c>
      <c r="C185" s="7" t="s">
        <v>408</v>
      </c>
      <c r="D185" s="7" t="s">
        <v>671</v>
      </c>
      <c r="E185" s="37" t="str">
        <f t="shared" si="10"/>
        <v>cs-head (cshd)</v>
      </c>
      <c r="F185" s="5">
        <v>2</v>
      </c>
      <c r="G185" s="7" t="b">
        <v>0</v>
      </c>
      <c r="H185" s="5">
        <v>2</v>
      </c>
      <c r="I185" s="5" t="s">
        <v>2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4" t="s">
        <v>669</v>
      </c>
      <c r="BM185" s="5" t="s">
        <v>69</v>
      </c>
      <c r="BN185" s="5"/>
      <c r="BO185" s="5" t="b">
        <v>0</v>
      </c>
      <c r="CU185" s="63" t="str">
        <f t="shared" si="8"/>
        <v>.cs-headcshd</v>
      </c>
    </row>
    <row r="186" spans="1:99">
      <c r="A186" s="37" t="str">
        <f t="shared" si="5"/>
        <v>cs-speaker (csp)</v>
      </c>
      <c r="C186" s="7" t="s">
        <v>409</v>
      </c>
      <c r="D186" s="7" t="s">
        <v>410</v>
      </c>
      <c r="E186" s="37" t="str">
        <f t="shared" si="10"/>
        <v>cs-speaker (csp)</v>
      </c>
      <c r="F186" s="5">
        <v>2</v>
      </c>
      <c r="G186" s="7" t="b">
        <v>0</v>
      </c>
      <c r="H186" s="5">
        <v>2</v>
      </c>
      <c r="I186" s="5" t="s">
        <v>2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4" t="s">
        <v>669</v>
      </c>
      <c r="BM186" s="5" t="s">
        <v>69</v>
      </c>
      <c r="BN186" s="5"/>
      <c r="BO186" s="5" t="b">
        <v>0</v>
      </c>
      <c r="CU186" s="63" t="str">
        <f t="shared" si="8"/>
        <v>.cs-speakercsp</v>
      </c>
    </row>
    <row r="187" spans="1:99">
      <c r="A187" s="37" t="str">
        <f t="shared" si="5"/>
        <v>cs-text-message (ctm)</v>
      </c>
      <c r="C187" s="7" t="s">
        <v>411</v>
      </c>
      <c r="D187" s="7" t="s">
        <v>412</v>
      </c>
      <c r="E187" s="37" t="str">
        <f t="shared" si="10"/>
        <v>cs-text-message (ctm)</v>
      </c>
      <c r="F187" s="5">
        <v>2</v>
      </c>
      <c r="G187" s="7" t="b">
        <v>0</v>
      </c>
      <c r="H187" s="5">
        <v>2</v>
      </c>
      <c r="I187" s="5" t="s">
        <v>71</v>
      </c>
      <c r="J187" s="7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4" t="s">
        <v>669</v>
      </c>
      <c r="BM187" s="5" t="s">
        <v>69</v>
      </c>
      <c r="BN187" s="5"/>
      <c r="BO187" s="5" t="b">
        <v>0</v>
      </c>
      <c r="CU187" s="63" t="str">
        <f t="shared" si="8"/>
        <v>.cs-text-messagectm</v>
      </c>
    </row>
    <row r="188" spans="1:99">
      <c r="A188" s="37" t="str">
        <f t="shared" si="5"/>
        <v>cs-computer (ccom)</v>
      </c>
      <c r="C188" s="7" t="s">
        <v>557</v>
      </c>
      <c r="D188" s="7" t="s">
        <v>546</v>
      </c>
      <c r="E188" s="37" t="str">
        <f t="shared" si="10"/>
        <v>cs-computer (ccom)</v>
      </c>
      <c r="F188" s="5">
        <v>2</v>
      </c>
      <c r="G188" s="7" t="b">
        <v>0</v>
      </c>
      <c r="H188" s="5">
        <v>2</v>
      </c>
      <c r="I188" s="5" t="s">
        <v>71</v>
      </c>
      <c r="J188" s="7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65</v>
      </c>
      <c r="BJ188" s="5">
        <v>0</v>
      </c>
      <c r="BK188" s="5">
        <v>0</v>
      </c>
      <c r="BL188" s="44" t="s">
        <v>669</v>
      </c>
      <c r="BM188" s="5" t="s">
        <v>69</v>
      </c>
      <c r="BN188" s="5"/>
      <c r="BO188" s="5" t="b">
        <v>0</v>
      </c>
      <c r="CU188" s="63" t="str">
        <f t="shared" si="8"/>
        <v>.cs-computerccom</v>
      </c>
    </row>
    <row r="189" spans="1:99">
      <c r="A189" s="37" t="str">
        <f t="shared" si="5"/>
        <v>cs-design-note (cdn)</v>
      </c>
      <c r="C189" s="7" t="s">
        <v>413</v>
      </c>
      <c r="D189" s="7" t="s">
        <v>414</v>
      </c>
      <c r="E189" s="37" t="str">
        <f t="shared" si="10"/>
        <v>cs-design-note (cdn)</v>
      </c>
      <c r="F189" s="5">
        <v>2</v>
      </c>
      <c r="G189" s="7" t="b">
        <v>0</v>
      </c>
      <c r="H189" s="5">
        <v>2</v>
      </c>
      <c r="I189" s="5" t="s">
        <v>1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0" t="s">
        <v>70</v>
      </c>
      <c r="BM189" s="5" t="s">
        <v>69</v>
      </c>
      <c r="BN189" s="5"/>
      <c r="BO189" s="5" t="b">
        <v>0</v>
      </c>
      <c r="CU189" s="63" t="str">
        <f t="shared" si="8"/>
        <v>.cs-design-notecdn</v>
      </c>
    </row>
    <row r="190" spans="1:99">
      <c r="A190" s="37" t="str">
        <f t="shared" si="5"/>
        <v>cs-image-placement (cimg)</v>
      </c>
      <c r="C190" s="7" t="s">
        <v>415</v>
      </c>
      <c r="D190" s="7" t="s">
        <v>573</v>
      </c>
      <c r="E190" s="37" t="str">
        <f t="shared" si="10"/>
        <v>cs-image-placement (cimg)</v>
      </c>
      <c r="F190" s="5">
        <v>2</v>
      </c>
      <c r="G190" s="7" t="b">
        <v>0</v>
      </c>
      <c r="H190" s="5">
        <v>2</v>
      </c>
      <c r="I190" s="5" t="s">
        <v>1</v>
      </c>
      <c r="J190" s="7">
        <v>12</v>
      </c>
      <c r="K190" s="5" t="b">
        <v>0</v>
      </c>
      <c r="L190" s="5" t="b">
        <v>0</v>
      </c>
      <c r="M190" s="6" t="s">
        <v>65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AA190" s="5"/>
      <c r="AB190" s="5"/>
      <c r="BI190" s="6" t="s">
        <v>65</v>
      </c>
      <c r="BJ190" s="5">
        <v>0</v>
      </c>
      <c r="BK190" s="5">
        <v>0</v>
      </c>
      <c r="BL190" s="40" t="s">
        <v>70</v>
      </c>
      <c r="BM190" s="5" t="s">
        <v>69</v>
      </c>
      <c r="BN190" s="5"/>
      <c r="BO190" s="5" t="b">
        <v>0</v>
      </c>
      <c r="CU190" s="63" t="str">
        <f t="shared" si="8"/>
        <v>.cs-image-placementcimg</v>
      </c>
    </row>
    <row r="191" spans="1:99">
      <c r="A191" s="37" t="str">
        <f t="shared" si="5"/>
        <v>symbols (sym)</v>
      </c>
      <c r="C191" s="7" t="s">
        <v>690</v>
      </c>
      <c r="D191" s="7" t="s">
        <v>691</v>
      </c>
      <c r="E191" s="37" t="str">
        <f t="shared" si="10"/>
        <v>symbols (sym)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42" t="s">
        <v>667</v>
      </c>
      <c r="BM191" s="5" t="s">
        <v>69</v>
      </c>
      <c r="BN191" s="5"/>
      <c r="BO191" s="5" t="b">
        <v>0</v>
      </c>
      <c r="CU191" s="63" t="str">
        <f>"."&amp;SUBSTITUTE(SUBSTITUTE(SUBSTITUTE(SUBSTITUTE(A191, "(",""),")","")," ",""),"#","")</f>
        <v>.symbolssym</v>
      </c>
    </row>
    <row r="192" spans="1:99">
      <c r="A192" s="37" t="str">
        <f>IF($D192="","",TRIM($C192)&amp;" "&amp;CHAR(40)&amp;TRIM($D192)&amp;CHAR(41))</f>
        <v>symbols-ital (symi)</v>
      </c>
      <c r="C192" s="7" t="s">
        <v>687</v>
      </c>
      <c r="D192" s="7" t="s">
        <v>688</v>
      </c>
      <c r="E192" s="37" t="str">
        <f>IF($D192="","",TRIM($C192)&amp;" "&amp;CHAR(40)&amp;TRIM($D192)&amp;CHAR(41))</f>
        <v>symbols-ital (symi)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7" t="b">
        <v>1</v>
      </c>
      <c r="L192" s="7" t="b">
        <v>0</v>
      </c>
      <c r="M192" s="6" t="s">
        <v>65</v>
      </c>
      <c r="N192" s="5" t="b">
        <v>0</v>
      </c>
      <c r="O192" s="7" t="b">
        <v>0</v>
      </c>
      <c r="P192" s="7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BI192" s="6" t="s">
        <v>65</v>
      </c>
      <c r="BJ192" s="5">
        <v>0</v>
      </c>
      <c r="BK192" s="5">
        <v>0</v>
      </c>
      <c r="BL192" s="42" t="s">
        <v>667</v>
      </c>
      <c r="BM192" s="5" t="s">
        <v>69</v>
      </c>
      <c r="BO192" s="5" t="b">
        <v>0</v>
      </c>
      <c r="CU192" s="63" t="str">
        <f t="shared" si="8"/>
        <v>.symbols-italsymi</v>
      </c>
    </row>
    <row r="193" spans="1:99">
      <c r="A193" s="37" t="str">
        <f t="shared" si="5"/>
        <v>cross-reference (xref)</v>
      </c>
      <c r="C193" s="7" t="s">
        <v>416</v>
      </c>
      <c r="D193" s="7" t="s">
        <v>215</v>
      </c>
      <c r="E193" s="37" t="str">
        <f t="shared" si="10"/>
        <v>cross-reference (xref)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56" t="s">
        <v>666</v>
      </c>
      <c r="BM193" s="5" t="s">
        <v>69</v>
      </c>
      <c r="BN193" s="5"/>
      <c r="BO193" s="5" t="b">
        <v>0</v>
      </c>
      <c r="CU193" s="63" t="str">
        <f t="shared" si="8"/>
        <v>.cross-referencexref</v>
      </c>
    </row>
    <row r="194" spans="1:99">
      <c r="A194" s="37" t="str">
        <f>IF($D194="","",TRIM($C194)&amp;" "&amp;CHAR(40)&amp;TRIM($D194)&amp;CHAR(41))</f>
        <v>redacted-text (red)</v>
      </c>
      <c r="C194" s="7" t="s">
        <v>547</v>
      </c>
      <c r="D194" s="7" t="s">
        <v>548</v>
      </c>
      <c r="E194" s="37" t="s">
        <v>549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1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4" t="s">
        <v>669</v>
      </c>
      <c r="BM194" s="5" t="s">
        <v>69</v>
      </c>
      <c r="BN194" s="5"/>
      <c r="BO194" s="5" t="b">
        <v>0</v>
      </c>
      <c r="CU194" s="63" t="str">
        <f t="shared" si="8"/>
        <v>.redacted-textred</v>
      </c>
    </row>
    <row r="195" spans="1:99">
      <c r="A195" s="37" t="str">
        <f>IF($D195="","",TRIM($C195)&amp;" "&amp;CHAR(40)&amp;TRIM($D195)&amp;CHAR(41))</f>
        <v>keyphrase (kp)</v>
      </c>
      <c r="C195" s="7" t="s">
        <v>550</v>
      </c>
      <c r="D195" s="7" t="s">
        <v>551</v>
      </c>
      <c r="E195" s="37" t="s">
        <v>552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56" t="s">
        <v>666</v>
      </c>
      <c r="BM195" s="5" t="s">
        <v>69</v>
      </c>
      <c r="BN195" s="5"/>
      <c r="BO195" s="5" t="b">
        <v>0</v>
      </c>
      <c r="CU195" s="63" t="str">
        <f t="shared" si="8"/>
        <v>.keyphrasekp</v>
      </c>
    </row>
    <row r="196" spans="1:99">
      <c r="A196" s="37" t="str">
        <f t="shared" si="5"/>
        <v>cs-cleanup-exclude (cex)</v>
      </c>
      <c r="C196" s="7" t="s">
        <v>417</v>
      </c>
      <c r="D196" s="7" t="s">
        <v>418</v>
      </c>
      <c r="E196" s="37" t="str">
        <f t="shared" si="10"/>
        <v>cs-cleanup-exclude (cex)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2" t="s">
        <v>667</v>
      </c>
      <c r="BM196" s="5" t="s">
        <v>69</v>
      </c>
      <c r="BN196" s="5"/>
      <c r="BO196" s="5" t="b">
        <v>0</v>
      </c>
      <c r="CU196" s="60" t="str">
        <f t="shared" si="8"/>
        <v>.cs-cleanup-excludecex</v>
      </c>
    </row>
    <row r="197" spans="1:99">
      <c r="A197" s="37" t="str">
        <f t="shared" si="5"/>
        <v>bookmaker-keep-together (bkt)</v>
      </c>
      <c r="C197" s="7" t="s">
        <v>419</v>
      </c>
      <c r="D197" s="7" t="s">
        <v>214</v>
      </c>
      <c r="E197" s="37" t="str">
        <f t="shared" si="10"/>
        <v>bookmaker-keep-together (bkt)</v>
      </c>
      <c r="F197" s="5">
        <v>2</v>
      </c>
      <c r="G197" s="5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L197" s="5"/>
      <c r="AM197" s="5"/>
      <c r="AN197" s="5"/>
      <c r="AO197" s="6"/>
      <c r="AP197" s="5"/>
      <c r="AQ197" s="5"/>
      <c r="AR197" s="5"/>
      <c r="AS197" s="6"/>
      <c r="AT197" s="5"/>
      <c r="AU197" s="5"/>
      <c r="AV197" s="5"/>
      <c r="AW197" s="6"/>
      <c r="AX197" s="5"/>
      <c r="AY197" s="5"/>
      <c r="AZ197" s="5"/>
      <c r="BA197" s="6"/>
      <c r="BB197" s="5"/>
      <c r="BC197" s="5"/>
      <c r="BD197" s="5"/>
      <c r="BE197" s="5"/>
      <c r="BF197" s="5"/>
      <c r="BG197" s="5"/>
      <c r="BH197" s="6"/>
      <c r="BI197" s="6" t="s">
        <v>65</v>
      </c>
      <c r="BJ197" s="5">
        <v>0</v>
      </c>
      <c r="BK197" s="5">
        <v>0</v>
      </c>
      <c r="BL197" s="43" t="s">
        <v>668</v>
      </c>
      <c r="BM197" s="5" t="s">
        <v>69</v>
      </c>
      <c r="BN197" s="5"/>
      <c r="BO197" s="5" t="b">
        <v>0</v>
      </c>
      <c r="CU197" s="60" t="str">
        <f t="shared" ref="CU197:CU199" si="11">"."&amp;SUBSTITUTE(SUBSTITUTE(SUBSTITUTE(SUBSTITUTE(A197, "(",""),")","")," ",""),"#","")</f>
        <v>.bookmaker-keep-togetherbkt</v>
      </c>
    </row>
    <row r="198" spans="1:99">
      <c r="A198" s="37" t="str">
        <f t="shared" si="5"/>
        <v>bookmaker-loosen (bln)</v>
      </c>
      <c r="C198" s="7" t="s">
        <v>422</v>
      </c>
      <c r="D198" s="7" t="s">
        <v>423</v>
      </c>
      <c r="E198" s="37" t="str">
        <f t="shared" si="10"/>
        <v>bookmaker-loosen (bln)</v>
      </c>
      <c r="F198" s="5">
        <v>2</v>
      </c>
      <c r="G198" s="5" t="b">
        <v>0</v>
      </c>
      <c r="H198" s="5">
        <v>2</v>
      </c>
      <c r="I198" s="5" t="s">
        <v>66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L198" s="5"/>
      <c r="AM198" s="5"/>
      <c r="AN198" s="5"/>
      <c r="AO198" s="6"/>
      <c r="AP198" s="5"/>
      <c r="AQ198" s="5"/>
      <c r="AR198" s="5"/>
      <c r="AS198" s="6"/>
      <c r="AT198" s="5"/>
      <c r="AU198" s="5"/>
      <c r="AV198" s="5"/>
      <c r="AW198" s="6"/>
      <c r="AX198" s="5"/>
      <c r="AY198" s="5"/>
      <c r="AZ198" s="5"/>
      <c r="BA198" s="6"/>
      <c r="BB198" s="5"/>
      <c r="BC198" s="5"/>
      <c r="BD198" s="5"/>
      <c r="BE198" s="5"/>
      <c r="BF198" s="5"/>
      <c r="BG198" s="5"/>
      <c r="BH198" s="6"/>
      <c r="BI198" s="6" t="s">
        <v>65</v>
      </c>
      <c r="BJ198" s="5">
        <v>0</v>
      </c>
      <c r="BK198" s="5">
        <v>0</v>
      </c>
      <c r="BL198" s="43" t="s">
        <v>668</v>
      </c>
      <c r="BM198" s="5" t="s">
        <v>69</v>
      </c>
      <c r="BN198" s="5"/>
      <c r="BO198" s="5" t="b">
        <v>0</v>
      </c>
      <c r="CU198" s="60" t="str">
        <f t="shared" si="11"/>
        <v>.bookmaker-loosenbln</v>
      </c>
    </row>
    <row r="199" spans="1:99">
      <c r="A199" s="37" t="str">
        <f t="shared" si="5"/>
        <v>bookmaker-tighten (bti)</v>
      </c>
      <c r="C199" s="26" t="s">
        <v>420</v>
      </c>
      <c r="D199" s="35" t="s">
        <v>421</v>
      </c>
      <c r="E199" s="37" t="str">
        <f t="shared" si="10"/>
        <v>bookmaker-tighten (bti)</v>
      </c>
      <c r="F199" s="5">
        <v>2</v>
      </c>
      <c r="G199" s="5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L199" s="5"/>
      <c r="AM199" s="5"/>
      <c r="AN199" s="5"/>
      <c r="AO199" s="6"/>
      <c r="AP199" s="5"/>
      <c r="AQ199" s="5"/>
      <c r="AR199" s="5"/>
      <c r="AS199" s="6"/>
      <c r="AT199" s="5"/>
      <c r="AU199" s="5"/>
      <c r="AV199" s="5"/>
      <c r="AW199" s="6"/>
      <c r="AX199" s="5"/>
      <c r="AY199" s="5"/>
      <c r="AZ199" s="5"/>
      <c r="BA199" s="6"/>
      <c r="BB199" s="5"/>
      <c r="BC199" s="5"/>
      <c r="BD199" s="5"/>
      <c r="BE199" s="5"/>
      <c r="BF199" s="5"/>
      <c r="BG199" s="5"/>
      <c r="BH199" s="6"/>
      <c r="BI199" s="6" t="s">
        <v>65</v>
      </c>
      <c r="BJ199" s="5">
        <v>0</v>
      </c>
      <c r="BK199" s="5">
        <v>0</v>
      </c>
      <c r="BL199" s="43" t="s">
        <v>668</v>
      </c>
      <c r="BM199" s="5" t="s">
        <v>69</v>
      </c>
      <c r="BN199" s="5"/>
      <c r="BO199" s="5" t="b">
        <v>0</v>
      </c>
      <c r="CU199" s="63" t="str">
        <f t="shared" si="11"/>
        <v>.bookmaker-tightenbti</v>
      </c>
    </row>
    <row r="200" spans="1:99">
      <c r="A200" s="37" t="str">
        <f>IF($D200="","",TRIM($C200)&amp;" "&amp;CHAR(40)&amp;TRIM($D200)&amp;CHAR(41))</f>
        <v>cs-isbn (isbn)</v>
      </c>
      <c r="C200" s="7" t="s">
        <v>737</v>
      </c>
      <c r="D200" s="7" t="s">
        <v>736</v>
      </c>
      <c r="E200" s="37" t="str">
        <f>IF($D200="","",TRIM($C200)&amp;" "&amp;CHAR(40)&amp;TRIM($D200)&amp;CHAR(41))</f>
        <v>cs-isbn (isbn)</v>
      </c>
      <c r="F200" s="59">
        <v>2</v>
      </c>
      <c r="G200" s="7" t="b">
        <v>0</v>
      </c>
      <c r="H200" s="5">
        <v>2</v>
      </c>
      <c r="I200" s="5" t="s">
        <v>66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2" t="s">
        <v>667</v>
      </c>
      <c r="BM200" s="5" t="s">
        <v>69</v>
      </c>
      <c r="BN200" s="5"/>
      <c r="BO200" s="5" t="b">
        <v>0</v>
      </c>
      <c r="CU200" s="63" t="str">
        <f t="shared" ref="CU200:CU205" si="12">SUBSTITUTE(SUBSTITUTE(SUBSTITUTE(SUBSTITUTE(A200, "(",""),")","")," ",""),"#","")</f>
        <v>cs-isbnisbn</v>
      </c>
    </row>
    <row r="201" spans="1:99">
      <c r="A201" s="37" t="str">
        <f t="shared" ref="A201" si="13">IF($D201="","",TRIM($C201)&amp;" "&amp;CHAR(40)&amp;TRIM($D201)&amp;CHAR(41))</f>
        <v/>
      </c>
      <c r="CU201" s="63" t="str">
        <f t="shared" si="12"/>
        <v/>
      </c>
    </row>
    <row r="202" spans="1:99">
      <c r="A202" s="37" t="str">
        <f>IF($D202="","",TRIM($C202)&amp;" "&amp;CHAR(40)&amp;TRIM($D202)&amp;CHAR(41))</f>
        <v/>
      </c>
      <c r="CU202" s="63" t="str">
        <f t="shared" si="12"/>
        <v/>
      </c>
    </row>
    <row r="203" spans="1:99">
      <c r="A203" s="37" t="str">
        <f t="shared" ref="A203:A206" si="14">IF($D203="","",TRIM($C203)&amp;" "&amp;CHAR(40)&amp;TRIM($D203)&amp;CHAR(41))</f>
        <v/>
      </c>
      <c r="CU203" s="63" t="str">
        <f t="shared" si="12"/>
        <v/>
      </c>
    </row>
    <row r="204" spans="1:99">
      <c r="A204" s="37" t="str">
        <f t="shared" si="14"/>
        <v/>
      </c>
      <c r="CU204" s="63" t="str">
        <f t="shared" si="12"/>
        <v/>
      </c>
    </row>
    <row r="205" spans="1:99">
      <c r="A205" s="37" t="str">
        <f t="shared" si="14"/>
        <v/>
      </c>
      <c r="CU205" s="63" t="str">
        <f t="shared" si="12"/>
        <v/>
      </c>
    </row>
    <row r="206" spans="1:99">
      <c r="A206" s="37" t="str">
        <f t="shared" si="14"/>
        <v/>
      </c>
      <c r="CU206" s="63" t="str">
        <f t="shared" ref="CU206:CU212" si="15">"."&amp;SUBSTITUTE(SUBSTITUTE(SUBSTITUTE(SUBSTITUTE(A206, "(",""),")","")," ",""),"#","")</f>
        <v>.</v>
      </c>
    </row>
    <row r="207" spans="1:99">
      <c r="A207" s="37" t="str">
        <f t="shared" ref="A207:A213" si="16">IF($D207="","",TRIM($C207)&amp;" "&amp;CHAR(40)&amp;TRIM($D207)&amp;CHAR(41))</f>
        <v/>
      </c>
      <c r="CU207" s="63" t="str">
        <f t="shared" si="15"/>
        <v>.</v>
      </c>
    </row>
    <row r="208" spans="1:99">
      <c r="A208" s="37" t="str">
        <f t="shared" si="16"/>
        <v/>
      </c>
      <c r="CU208" s="63" t="str">
        <f t="shared" si="15"/>
        <v>.</v>
      </c>
    </row>
    <row r="209" spans="1:99">
      <c r="A209" s="37" t="str">
        <f t="shared" si="16"/>
        <v/>
      </c>
      <c r="CU209" s="63" t="str">
        <f t="shared" si="15"/>
        <v>.</v>
      </c>
    </row>
    <row r="210" spans="1:99">
      <c r="A210" s="37" t="str">
        <f t="shared" si="16"/>
        <v/>
      </c>
      <c r="CU210" s="63" t="str">
        <f t="shared" si="15"/>
        <v>.</v>
      </c>
    </row>
    <row r="211" spans="1:99">
      <c r="A211" s="37" t="str">
        <f t="shared" si="16"/>
        <v/>
      </c>
      <c r="CU211" s="63" t="str">
        <f t="shared" si="15"/>
        <v>.</v>
      </c>
    </row>
    <row r="212" spans="1:99">
      <c r="A212" s="37" t="str">
        <f t="shared" si="16"/>
        <v/>
      </c>
      <c r="CU212" s="63" t="str">
        <f t="shared" si="15"/>
        <v>.</v>
      </c>
    </row>
    <row r="213" spans="1:99">
      <c r="A213" s="37" t="str">
        <f t="shared" si="16"/>
        <v/>
      </c>
    </row>
    <row r="214" spans="1:99">
      <c r="A214" s="23"/>
    </row>
    <row r="215" spans="1:99">
      <c r="A215" s="23"/>
    </row>
    <row r="216" spans="1:99">
      <c r="A216" s="23"/>
    </row>
    <row r="217" spans="1:99">
      <c r="A217" s="23"/>
    </row>
    <row r="218" spans="1:99">
      <c r="A218" s="23"/>
    </row>
    <row r="219" spans="1:99">
      <c r="A219" s="23"/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79:G199 G201:G1048576 G68:G131 G54:G61 G146 G5:G50 G63:G65 G134:G144 G148:G177">
    <cfRule type="containsText" dxfId="265" priority="218" operator="containsText" text="true">
      <formula>NOT(ISERROR(SEARCH("true",G1)))</formula>
    </cfRule>
  </conditionalFormatting>
  <conditionalFormatting sqref="D5:D10 D12:D16">
    <cfRule type="duplicateValues" dxfId="264" priority="214"/>
  </conditionalFormatting>
  <conditionalFormatting sqref="D11">
    <cfRule type="duplicateValues" dxfId="263" priority="213"/>
  </conditionalFormatting>
  <conditionalFormatting sqref="D17">
    <cfRule type="duplicateValues" dxfId="262" priority="212"/>
  </conditionalFormatting>
  <conditionalFormatting sqref="D23:D35 D18:D20">
    <cfRule type="duplicateValues" dxfId="261" priority="211"/>
  </conditionalFormatting>
  <conditionalFormatting sqref="D22">
    <cfRule type="duplicateValues" dxfId="260" priority="210"/>
  </conditionalFormatting>
  <conditionalFormatting sqref="AT152 AP146:AR146 AP144:AS144 AX144:AY144 R91:R131 AP152:AR152 BI4:CP4 A81:Y82 A87:Y89 A55:I61 K55:Y61 A83:I86 K83:Y86 A90:I115 K90:Y115 AT85 AT63 AT87:AT92 AT119:AT121 AT68:AT83 AT134 A116:Y131 AT138 AT136 AU68:AU92 S68:V131 K68:Y80 A68:I80 AT54:AT57 S54:V61 A54:Y54 A146:Y146 AX146:AY146 AX148:AY150 AP148:AR149 CW28:CX28 CW5:CW20 CW22:CW27 CW29:CW35 BC149:CT150 AV151:CT151 AV171:CT171 BD144:CT148 BN179:CT182 AV178:CT178 A171:Y177 A179:Y199 AT36:CT52 AV68:CT131 AU54:CT61 G200:Y200 CR4:CT4 CV4:CW4 CV36:DB52 CY5:DB35 A5:Y50 CV6:CV35 CU4:CU49 AB5:CT35 AB183:CT200 AB172:CT177 AB148:AM149 AB146:AM146 AB134:AR138 AB36:AR50 AB54:AR61 AB179:BH182 AB151:AT151 AB122:AT131 AB139:AT143 AB171:AT171 AB144:AM144 AB150:AR150 CV54:DB61 CV63:DB131 AB63:AR65 AU63:CT67 K63:Y65 A63:I65 AV134:CT143 A134:Y144 R156:R176 S156:V177 BI156:CT170 CV134:DB200 AT154:AT170 AV152:AY168 AR153:AR170 AU148:AU169 AZ153:AZ168 BD156:BH169 AB152:AN155 BC152:CT155 AP153:AQ169 BB156:BC170 AS152:AS169 BA152:BA169 AO152:AO169 A148:Y155 CU147:CU198 A156:AN170 AB68:AR121">
    <cfRule type="containsText" dxfId="0" priority="208" operator="containsText" text="true">
      <formula>NOT(ISERROR(SEARCH("true",A4)))</formula>
    </cfRule>
  </conditionalFormatting>
  <conditionalFormatting sqref="BD170:BH170 AV169:AZ169 AV170 AX170 AZ170">
    <cfRule type="containsText" dxfId="259" priority="205" operator="containsText" text="true">
      <formula>NOT(ISERROR(SEARCH("true",AV169)))</formula>
    </cfRule>
  </conditionalFormatting>
  <conditionalFormatting sqref="AN144:AO144 AN146:AO146 AN148:AO149">
    <cfRule type="containsText" dxfId="258" priority="203" operator="containsText" text="true">
      <formula>NOT(ISERROR(SEARCH("true",AN144)))</formula>
    </cfRule>
  </conditionalFormatting>
  <conditionalFormatting sqref="AV146 AV144:AW144 AV148:AV150">
    <cfRule type="containsText" dxfId="257" priority="202" operator="containsText" text="true">
      <formula>NOT(ISERROR(SEARCH("true",AV144)))</formula>
    </cfRule>
  </conditionalFormatting>
  <conditionalFormatting sqref="AZ146 AZ144:BA144 AZ148:AZ150">
    <cfRule type="containsText" dxfId="256" priority="201" operator="containsText" text="true">
      <formula>NOT(ISERROR(SEARCH("true",AZ144)))</formula>
    </cfRule>
  </conditionalFormatting>
  <conditionalFormatting sqref="BB149:BB150">
    <cfRule type="containsText" dxfId="255" priority="200" operator="containsText" text="true">
      <formula>NOT(ISERROR(SEARCH("true",BB149)))</formula>
    </cfRule>
  </conditionalFormatting>
  <conditionalFormatting sqref="AU119:AU131 AU146 AU134:AU144">
    <cfRule type="containsText" dxfId="254" priority="193" operator="containsText" text="true">
      <formula>NOT(ISERROR(SEARCH("true",AU119)))</formula>
    </cfRule>
  </conditionalFormatting>
  <conditionalFormatting sqref="AT58:AT61">
    <cfRule type="containsText" dxfId="253" priority="192" operator="containsText" text="true">
      <formula>NOT(ISERROR(SEARCH("true",AT58)))</formula>
    </cfRule>
  </conditionalFormatting>
  <conditionalFormatting sqref="AT84">
    <cfRule type="containsText" dxfId="252" priority="190" operator="containsText" text="true">
      <formula>NOT(ISERROR(SEARCH("true",AT84)))</formula>
    </cfRule>
  </conditionalFormatting>
  <conditionalFormatting sqref="AT86">
    <cfRule type="containsText" dxfId="251" priority="189" operator="containsText" text="true">
      <formula>NOT(ISERROR(SEARCH("true",AT86)))</formula>
    </cfRule>
  </conditionalFormatting>
  <conditionalFormatting sqref="AT135">
    <cfRule type="containsText" dxfId="250" priority="188" operator="containsText" text="true">
      <formula>NOT(ISERROR(SEARCH("true",AT135)))</formula>
    </cfRule>
  </conditionalFormatting>
  <conditionalFormatting sqref="AT137">
    <cfRule type="containsText" dxfId="249" priority="187" operator="containsText" text="true">
      <formula>NOT(ISERROR(SEARCH("true",AT137)))</formula>
    </cfRule>
  </conditionalFormatting>
  <conditionalFormatting sqref="AT153">
    <cfRule type="containsText" dxfId="248" priority="186" operator="containsText" text="true">
      <formula>NOT(ISERROR(SEARCH("true",AT153)))</formula>
    </cfRule>
  </conditionalFormatting>
  <conditionalFormatting sqref="AZ152">
    <cfRule type="containsText" dxfId="247" priority="171" operator="containsText" text="true">
      <formula>NOT(ISERROR(SEARCH("true",AZ152)))</formula>
    </cfRule>
  </conditionalFormatting>
  <conditionalFormatting sqref="AT144">
    <cfRule type="containsText" dxfId="246" priority="168" operator="containsText" text="true">
      <formula>NOT(ISERROR(SEARCH("true",AT144)))</formula>
    </cfRule>
  </conditionalFormatting>
  <conditionalFormatting sqref="AT146">
    <cfRule type="containsText" dxfId="245" priority="167" operator="containsText" text="true">
      <formula>NOT(ISERROR(SEARCH("true",AT146)))</formula>
    </cfRule>
  </conditionalFormatting>
  <conditionalFormatting sqref="AT148">
    <cfRule type="containsText" dxfId="244" priority="166" operator="containsText" text="true">
      <formula>NOT(ISERROR(SEARCH("true",AT148)))</formula>
    </cfRule>
  </conditionalFormatting>
  <conditionalFormatting sqref="AT149">
    <cfRule type="containsText" dxfId="243" priority="165" operator="containsText" text="true">
      <formula>NOT(ISERROR(SEARCH("true",AT149)))</formula>
    </cfRule>
  </conditionalFormatting>
  <conditionalFormatting sqref="AT150">
    <cfRule type="containsText" dxfId="242" priority="164" operator="containsText" text="true">
      <formula>NOT(ISERROR(SEARCH("true",AT150)))</formula>
    </cfRule>
  </conditionalFormatting>
  <conditionalFormatting sqref="AP170">
    <cfRule type="containsText" dxfId="241" priority="162" operator="containsText" text="true">
      <formula>NOT(ISERROR(SEARCH("true",AP170)))</formula>
    </cfRule>
  </conditionalFormatting>
  <conditionalFormatting sqref="AO170">
    <cfRule type="containsText" dxfId="240" priority="160" operator="containsText" text="true">
      <formula>NOT(ISERROR(SEARCH("true",AO170)))</formula>
    </cfRule>
  </conditionalFormatting>
  <conditionalFormatting sqref="AQ170">
    <cfRule type="containsText" dxfId="239" priority="149" operator="containsText" text="true">
      <formula>NOT(ISERROR(SEARCH("true",AQ170)))</formula>
    </cfRule>
  </conditionalFormatting>
  <conditionalFormatting sqref="AU170">
    <cfRule type="containsText" dxfId="238" priority="148" operator="containsText" text="true">
      <formula>NOT(ISERROR(SEARCH("true",AU170)))</formula>
    </cfRule>
  </conditionalFormatting>
  <conditionalFormatting sqref="AY170">
    <cfRule type="containsText" dxfId="237" priority="147" operator="containsText" text="true">
      <formula>NOT(ISERROR(SEARCH("true",AY170)))</formula>
    </cfRule>
  </conditionalFormatting>
  <conditionalFormatting sqref="BB152 BB154:BB155">
    <cfRule type="containsText" dxfId="236" priority="146" operator="containsText" text="true">
      <formula>NOT(ISERROR(SEARCH("true",BB152)))</formula>
    </cfRule>
  </conditionalFormatting>
  <conditionalFormatting sqref="BB153">
    <cfRule type="containsText" dxfId="235" priority="144" operator="containsText" text="true">
      <formula>NOT(ISERROR(SEARCH("true",BB153)))</formula>
    </cfRule>
  </conditionalFormatting>
  <conditionalFormatting sqref="BA170">
    <cfRule type="containsText" dxfId="234" priority="140" operator="containsText" text="true">
      <formula>NOT(ISERROR(SEARCH("true",BA170)))</formula>
    </cfRule>
  </conditionalFormatting>
  <conditionalFormatting sqref="AW170">
    <cfRule type="containsText" dxfId="233" priority="134" operator="containsText" text="true">
      <formula>NOT(ISERROR(SEARCH("true",AW170)))</formula>
    </cfRule>
  </conditionalFormatting>
  <conditionalFormatting sqref="AS170">
    <cfRule type="containsText" dxfId="232" priority="133" operator="containsText" text="true">
      <formula>NOT(ISERROR(SEARCH("true",AS170)))</formula>
    </cfRule>
  </conditionalFormatting>
  <conditionalFormatting sqref="AT93:AT118">
    <cfRule type="containsText" dxfId="231" priority="129" operator="containsText" text="true">
      <formula>NOT(ISERROR(SEARCH("true",AT93)))</formula>
    </cfRule>
  </conditionalFormatting>
  <conditionalFormatting sqref="AU93:AU118">
    <cfRule type="containsText" dxfId="230" priority="128" operator="containsText" text="true">
      <formula>NOT(ISERROR(SEARCH("true",AU93)))</formula>
    </cfRule>
  </conditionalFormatting>
  <conditionalFormatting sqref="BC144 BC146 BC148">
    <cfRule type="containsText" dxfId="229" priority="127" operator="containsText" text="true">
      <formula>NOT(ISERROR(SEARCH("true",BC144)))</formula>
    </cfRule>
  </conditionalFormatting>
  <conditionalFormatting sqref="BB144">
    <cfRule type="containsText" dxfId="228" priority="126" operator="containsText" text="true">
      <formula>NOT(ISERROR(SEARCH("true",BB144)))</formula>
    </cfRule>
  </conditionalFormatting>
  <conditionalFormatting sqref="BB146">
    <cfRule type="containsText" dxfId="227" priority="125" operator="containsText" text="true">
      <formula>NOT(ISERROR(SEARCH("true",BB146)))</formula>
    </cfRule>
  </conditionalFormatting>
  <conditionalFormatting sqref="BB148">
    <cfRule type="containsText" dxfId="226" priority="124" operator="containsText" text="true">
      <formula>NOT(ISERROR(SEARCH("true",BB148)))</formula>
    </cfRule>
  </conditionalFormatting>
  <conditionalFormatting sqref="G4">
    <cfRule type="containsText" dxfId="225" priority="123" operator="containsText" text="true">
      <formula>NOT(ISERROR(SEARCH("true",G4)))</formula>
    </cfRule>
  </conditionalFormatting>
  <conditionalFormatting sqref="D4">
    <cfRule type="duplicateValues" dxfId="224" priority="122"/>
  </conditionalFormatting>
  <conditionalFormatting sqref="AV4:BG4 A4:D4 N4:Y4 AM4:AT4 F4:L4 CY4:DB4 AB4:AK4">
    <cfRule type="containsText" dxfId="223" priority="121" operator="containsText" text="true">
      <formula>NOT(ISERROR(SEARCH("true",A4)))</formula>
    </cfRule>
  </conditionalFormatting>
  <conditionalFormatting sqref="AU4">
    <cfRule type="containsText" dxfId="222" priority="120" operator="containsText" text="true">
      <formula>NOT(ISERROR(SEARCH("true",AU4)))</formula>
    </cfRule>
  </conditionalFormatting>
  <conditionalFormatting sqref="AL4">
    <cfRule type="containsText" dxfId="221" priority="118" operator="containsText" text="true">
      <formula>NOT(ISERROR(SEARCH("true",AL4)))</formula>
    </cfRule>
  </conditionalFormatting>
  <conditionalFormatting sqref="BH4">
    <cfRule type="containsText" dxfId="220" priority="117" operator="containsText" text="true">
      <formula>NOT(ISERROR(SEARCH("true",BH4)))</formula>
    </cfRule>
  </conditionalFormatting>
  <conditionalFormatting sqref="CQ4">
    <cfRule type="containsText" dxfId="219" priority="116" operator="containsText" text="true">
      <formula>NOT(ISERROR(SEARCH("true",CQ4)))</formula>
    </cfRule>
  </conditionalFormatting>
  <conditionalFormatting sqref="E4">
    <cfRule type="containsText" dxfId="218" priority="115" operator="containsText" text="true">
      <formula>NOT(ISERROR(SEARCH("true",E4)))</formula>
    </cfRule>
  </conditionalFormatting>
  <conditionalFormatting sqref="M4">
    <cfRule type="containsText" dxfId="217" priority="114" operator="containsText" text="true">
      <formula>NOT(ISERROR(SEARCH("true",M4)))</formula>
    </cfRule>
  </conditionalFormatting>
  <conditionalFormatting sqref="G178">
    <cfRule type="containsText" dxfId="216" priority="113" operator="containsText" text="true">
      <formula>NOT(ISERROR(SEARCH("true",G178)))</formula>
    </cfRule>
  </conditionalFormatting>
  <conditionalFormatting sqref="A178:E178 G178:Y178 AB178:AT178">
    <cfRule type="containsText" dxfId="215" priority="112" operator="containsText" text="true">
      <formula>NOT(ISERROR(SEARCH("true",A178)))</formula>
    </cfRule>
  </conditionalFormatting>
  <conditionalFormatting sqref="BI179:BM181">
    <cfRule type="containsText" dxfId="214" priority="107" operator="containsText" text="true">
      <formula>NOT(ISERROR(SEARCH("true",BI179)))</formula>
    </cfRule>
  </conditionalFormatting>
  <conditionalFormatting sqref="BI182:BM182">
    <cfRule type="containsText" dxfId="213" priority="106" operator="containsText" text="true">
      <formula>NOT(ISERROR(SEARCH("true",BI182)))</formula>
    </cfRule>
  </conditionalFormatting>
  <conditionalFormatting sqref="G200">
    <cfRule type="containsText" dxfId="212" priority="104" operator="containsText" text="true">
      <formula>NOT(ISERROR(SEARCH("true",G200)))</formula>
    </cfRule>
  </conditionalFormatting>
  <conditionalFormatting sqref="A200:E200">
    <cfRule type="containsText" dxfId="211" priority="103" operator="containsText" text="true">
      <formula>NOT(ISERROR(SEARCH("true",A200)))</formula>
    </cfRule>
  </conditionalFormatting>
  <conditionalFormatting sqref="F178">
    <cfRule type="containsText" dxfId="210" priority="102" operator="containsText" text="true">
      <formula>NOT(ISERROR(SEARCH("true",F178)))</formula>
    </cfRule>
  </conditionalFormatting>
  <conditionalFormatting sqref="F200">
    <cfRule type="containsText" dxfId="209" priority="101" operator="containsText" text="true">
      <formula>NOT(ISERROR(SEARCH("true",F200)))</formula>
    </cfRule>
  </conditionalFormatting>
  <conditionalFormatting sqref="D201:D1048576 D1:D3">
    <cfRule type="duplicateValues" dxfId="208" priority="225"/>
  </conditionalFormatting>
  <conditionalFormatting sqref="J55:J61 J68:J80 J63:J65">
    <cfRule type="containsText" dxfId="207" priority="100" operator="containsText" text="true">
      <formula>NOT(ISERROR(SEARCH("true",J55)))</formula>
    </cfRule>
  </conditionalFormatting>
  <conditionalFormatting sqref="J83:J86">
    <cfRule type="containsText" dxfId="206" priority="99" operator="containsText" text="true">
      <formula>NOT(ISERROR(SEARCH("true",J83)))</formula>
    </cfRule>
  </conditionalFormatting>
  <conditionalFormatting sqref="J90:J115">
    <cfRule type="containsText" dxfId="205" priority="98" operator="containsText" text="true">
      <formula>NOT(ISERROR(SEARCH("true",J90)))</formula>
    </cfRule>
  </conditionalFormatting>
  <conditionalFormatting sqref="AS36:AS50 AS68:AS121 AS54:AS61 AS63:AS65">
    <cfRule type="containsText" dxfId="204" priority="97" operator="containsText" text="true">
      <formula>NOT(ISERROR(SEARCH("true",AS36)))</formula>
    </cfRule>
  </conditionalFormatting>
  <conditionalFormatting sqref="AS134:AS138">
    <cfRule type="containsText" dxfId="203" priority="96" operator="containsText" text="true">
      <formula>NOT(ISERROR(SEARCH("true",AS134)))</formula>
    </cfRule>
  </conditionalFormatting>
  <conditionalFormatting sqref="G66">
    <cfRule type="containsText" dxfId="202" priority="95" operator="containsText" text="true">
      <formula>NOT(ISERROR(SEARCH("true",G66)))</formula>
    </cfRule>
  </conditionalFormatting>
  <conditionalFormatting sqref="A66:I66 K66:Y66 AB66:AR66">
    <cfRule type="containsText" dxfId="201" priority="94" operator="containsText" text="true">
      <formula>NOT(ISERROR(SEARCH("true",A66)))</formula>
    </cfRule>
  </conditionalFormatting>
  <conditionalFormatting sqref="J66">
    <cfRule type="containsText" dxfId="200" priority="92" operator="containsText" text="true">
      <formula>NOT(ISERROR(SEARCH("true",J66)))</formula>
    </cfRule>
  </conditionalFormatting>
  <conditionalFormatting sqref="AS66">
    <cfRule type="containsText" dxfId="199" priority="91" operator="containsText" text="true">
      <formula>NOT(ISERROR(SEARCH("true",AS66)))</formula>
    </cfRule>
  </conditionalFormatting>
  <conditionalFormatting sqref="G67">
    <cfRule type="containsText" dxfId="198" priority="90" operator="containsText" text="true">
      <formula>NOT(ISERROR(SEARCH("true",G67)))</formula>
    </cfRule>
  </conditionalFormatting>
  <conditionalFormatting sqref="A67:I67 K67:Y67 AB67:AR67">
    <cfRule type="containsText" dxfId="197" priority="89" operator="containsText" text="true">
      <formula>NOT(ISERROR(SEARCH("true",A67)))</formula>
    </cfRule>
  </conditionalFormatting>
  <conditionalFormatting sqref="J67">
    <cfRule type="containsText" dxfId="196" priority="87" operator="containsText" text="true">
      <formula>NOT(ISERROR(SEARCH("true",J67)))</formula>
    </cfRule>
  </conditionalFormatting>
  <conditionalFormatting sqref="AS67">
    <cfRule type="containsText" dxfId="195" priority="86" operator="containsText" text="true">
      <formula>NOT(ISERROR(SEARCH("true",AS67)))</formula>
    </cfRule>
  </conditionalFormatting>
  <conditionalFormatting sqref="G51">
    <cfRule type="containsText" dxfId="194" priority="85" operator="containsText" text="true">
      <formula>NOT(ISERROR(SEARCH("true",G51)))</formula>
    </cfRule>
  </conditionalFormatting>
  <conditionalFormatting sqref="A51:Y51 AB51:AR51">
    <cfRule type="containsText" dxfId="193" priority="84" operator="containsText" text="true">
      <formula>NOT(ISERROR(SEARCH("true",A51)))</formula>
    </cfRule>
  </conditionalFormatting>
  <conditionalFormatting sqref="AS51">
    <cfRule type="containsText" dxfId="192" priority="83" operator="containsText" text="true">
      <formula>NOT(ISERROR(SEARCH("true",AS51)))</formula>
    </cfRule>
  </conditionalFormatting>
  <conditionalFormatting sqref="G52">
    <cfRule type="containsText" dxfId="191" priority="82" operator="containsText" text="true">
      <formula>NOT(ISERROR(SEARCH("true",G52)))</formula>
    </cfRule>
  </conditionalFormatting>
  <conditionalFormatting sqref="A52:H52 J52:Y52 AB52:AR52">
    <cfRule type="containsText" dxfId="190" priority="81" operator="containsText" text="true">
      <formula>NOT(ISERROR(SEARCH("true",A52)))</formula>
    </cfRule>
  </conditionalFormatting>
  <conditionalFormatting sqref="AS52">
    <cfRule type="containsText" dxfId="189" priority="80" operator="containsText" text="true">
      <formula>NOT(ISERROR(SEARCH("true",AS52)))</formula>
    </cfRule>
  </conditionalFormatting>
  <conditionalFormatting sqref="G145">
    <cfRule type="containsText" dxfId="188" priority="79" operator="containsText" text="true">
      <formula>NOT(ISERROR(SEARCH("true",G145)))</formula>
    </cfRule>
  </conditionalFormatting>
  <conditionalFormatting sqref="AP145:AS145 AX145:AY145 A145:Y145 AB145:AM145">
    <cfRule type="containsText" dxfId="187" priority="78" operator="containsText" text="true">
      <formula>NOT(ISERROR(SEARCH("true",A145)))</formula>
    </cfRule>
  </conditionalFormatting>
  <conditionalFormatting sqref="AN145:AO145">
    <cfRule type="containsText" dxfId="186" priority="77" operator="containsText" text="true">
      <formula>NOT(ISERROR(SEARCH("true",AN145)))</formula>
    </cfRule>
  </conditionalFormatting>
  <conditionalFormatting sqref="AV145:AW145">
    <cfRule type="containsText" dxfId="185" priority="76" operator="containsText" text="true">
      <formula>NOT(ISERROR(SEARCH("true",AV145)))</formula>
    </cfRule>
  </conditionalFormatting>
  <conditionalFormatting sqref="AZ145:BA145">
    <cfRule type="containsText" dxfId="184" priority="75" operator="containsText" text="true">
      <formula>NOT(ISERROR(SEARCH("true",AZ145)))</formula>
    </cfRule>
  </conditionalFormatting>
  <conditionalFormatting sqref="AU145">
    <cfRule type="containsText" dxfId="183" priority="74" operator="containsText" text="true">
      <formula>NOT(ISERROR(SEARCH("true",AU145)))</formula>
    </cfRule>
  </conditionalFormatting>
  <conditionalFormatting sqref="AT145">
    <cfRule type="containsText" dxfId="182" priority="73" operator="containsText" text="true">
      <formula>NOT(ISERROR(SEARCH("true",AT145)))</formula>
    </cfRule>
  </conditionalFormatting>
  <conditionalFormatting sqref="BC145">
    <cfRule type="containsText" dxfId="181" priority="72" operator="containsText" text="true">
      <formula>NOT(ISERROR(SEARCH("true",BC145)))</formula>
    </cfRule>
  </conditionalFormatting>
  <conditionalFormatting sqref="BB145">
    <cfRule type="containsText" dxfId="180" priority="71" operator="containsText" text="true">
      <formula>NOT(ISERROR(SEARCH("true",BB145)))</formula>
    </cfRule>
  </conditionalFormatting>
  <conditionalFormatting sqref="G147">
    <cfRule type="containsText" dxfId="179" priority="70" operator="containsText" text="true">
      <formula>NOT(ISERROR(SEARCH("true",G147)))</formula>
    </cfRule>
  </conditionalFormatting>
  <conditionalFormatting sqref="AP147:AR147 A147:Y147 AX147:AY147 AB147:AM147">
    <cfRule type="containsText" dxfId="178" priority="69" operator="containsText" text="true">
      <formula>NOT(ISERROR(SEARCH("true",A147)))</formula>
    </cfRule>
  </conditionalFormatting>
  <conditionalFormatting sqref="AN147:AO147">
    <cfRule type="containsText" dxfId="177" priority="68" operator="containsText" text="true">
      <formula>NOT(ISERROR(SEARCH("true",AN147)))</formula>
    </cfRule>
  </conditionalFormatting>
  <conditionalFormatting sqref="AV147">
    <cfRule type="containsText" dxfId="176" priority="67" operator="containsText" text="true">
      <formula>NOT(ISERROR(SEARCH("true",AV147)))</formula>
    </cfRule>
  </conditionalFormatting>
  <conditionalFormatting sqref="AZ147">
    <cfRule type="containsText" dxfId="175" priority="66" operator="containsText" text="true">
      <formula>NOT(ISERROR(SEARCH("true",AZ147)))</formula>
    </cfRule>
  </conditionalFormatting>
  <conditionalFormatting sqref="AU147">
    <cfRule type="containsText" dxfId="174" priority="65" operator="containsText" text="true">
      <formula>NOT(ISERROR(SEARCH("true",AU147)))</formula>
    </cfRule>
  </conditionalFormatting>
  <conditionalFormatting sqref="AT147">
    <cfRule type="containsText" dxfId="173" priority="64" operator="containsText" text="true">
      <formula>NOT(ISERROR(SEARCH("true",AT147)))</formula>
    </cfRule>
  </conditionalFormatting>
  <conditionalFormatting sqref="BC147">
    <cfRule type="containsText" dxfId="172" priority="63" operator="containsText" text="true">
      <formula>NOT(ISERROR(SEARCH("true",BC147)))</formula>
    </cfRule>
  </conditionalFormatting>
  <conditionalFormatting sqref="BB147">
    <cfRule type="containsText" dxfId="171" priority="62" operator="containsText" text="true">
      <formula>NOT(ISERROR(SEARCH("true",BB147)))</formula>
    </cfRule>
  </conditionalFormatting>
  <conditionalFormatting sqref="AT64 AT66:AT67">
    <cfRule type="containsText" dxfId="170" priority="61" operator="containsText" text="true">
      <formula>NOT(ISERROR(SEARCH("true",AT64)))</formula>
    </cfRule>
  </conditionalFormatting>
  <conditionalFormatting sqref="AT65">
    <cfRule type="containsText" dxfId="169" priority="60" operator="containsText" text="true">
      <formula>NOT(ISERROR(SEARCH("true",AT65)))</formula>
    </cfRule>
  </conditionalFormatting>
  <conditionalFormatting sqref="CW21">
    <cfRule type="containsText" dxfId="168" priority="59" operator="containsText" text="true">
      <formula>NOT(ISERROR(SEARCH("true",CW21)))</formula>
    </cfRule>
  </conditionalFormatting>
  <conditionalFormatting sqref="CU67:CU131 CU52 CU145 CU54:CU61 CU63:CU64 CU134:CU143">
    <cfRule type="containsText" dxfId="167" priority="58" operator="containsText" text="true">
      <formula>NOT(ISERROR(SEARCH("true",CU52)))</formula>
    </cfRule>
  </conditionalFormatting>
  <conditionalFormatting sqref="CU199">
    <cfRule type="containsText" dxfId="166" priority="57" operator="containsText" text="true">
      <formula>NOT(ISERROR(SEARCH("true",CU199)))</formula>
    </cfRule>
  </conditionalFormatting>
  <conditionalFormatting sqref="CU65">
    <cfRule type="containsText" dxfId="165" priority="56" operator="containsText" text="true">
      <formula>NOT(ISERROR(SEARCH("true",CU65)))</formula>
    </cfRule>
  </conditionalFormatting>
  <conditionalFormatting sqref="CU66">
    <cfRule type="containsText" dxfId="164" priority="55" operator="containsText" text="true">
      <formula>NOT(ISERROR(SEARCH("true",CU66)))</formula>
    </cfRule>
  </conditionalFormatting>
  <conditionalFormatting sqref="CU50">
    <cfRule type="containsText" dxfId="163" priority="54" operator="containsText" text="true">
      <formula>NOT(ISERROR(SEARCH("true",CU50)))</formula>
    </cfRule>
  </conditionalFormatting>
  <conditionalFormatting sqref="CU51">
    <cfRule type="containsText" dxfId="162" priority="53" operator="containsText" text="true">
      <formula>NOT(ISERROR(SEARCH("true",CU51)))</formula>
    </cfRule>
  </conditionalFormatting>
  <conditionalFormatting sqref="CU144">
    <cfRule type="containsText" dxfId="161" priority="52" operator="containsText" text="true">
      <formula>NOT(ISERROR(SEARCH("true",CU144)))</formula>
    </cfRule>
  </conditionalFormatting>
  <conditionalFormatting sqref="CU146">
    <cfRule type="containsText" dxfId="160" priority="51" operator="containsText" text="true">
      <formula>NOT(ISERROR(SEARCH("true",CU146)))</formula>
    </cfRule>
  </conditionalFormatting>
  <conditionalFormatting sqref="D21">
    <cfRule type="duplicateValues" dxfId="159" priority="229"/>
  </conditionalFormatting>
  <conditionalFormatting sqref="I52">
    <cfRule type="containsText" dxfId="158" priority="50" operator="containsText" text="true">
      <formula>NOT(ISERROR(SEARCH("true",I52)))</formula>
    </cfRule>
  </conditionalFormatting>
  <conditionalFormatting sqref="Z68:Z131 Z54:Z61 Z146 Z148:Z155 Z171:Z177 Z179:Z200 Z5:Z50 Z63:Z65 Z134:Z144">
    <cfRule type="containsText" dxfId="157" priority="49" operator="containsText" text="true">
      <formula>NOT(ISERROR(SEARCH("true",Z5)))</formula>
    </cfRule>
  </conditionalFormatting>
  <conditionalFormatting sqref="Z4">
    <cfRule type="containsText" dxfId="156" priority="47" operator="containsText" text="true">
      <formula>NOT(ISERROR(SEARCH("true",Z4)))</formula>
    </cfRule>
  </conditionalFormatting>
  <conditionalFormatting sqref="Z178">
    <cfRule type="containsText" dxfId="155" priority="46" operator="containsText" text="true">
      <formula>NOT(ISERROR(SEARCH("true",Z178)))</formula>
    </cfRule>
  </conditionalFormatting>
  <conditionalFormatting sqref="Z66">
    <cfRule type="containsText" dxfId="154" priority="45" operator="containsText" text="true">
      <formula>NOT(ISERROR(SEARCH("true",Z66)))</formula>
    </cfRule>
  </conditionalFormatting>
  <conditionalFormatting sqref="Z67">
    <cfRule type="containsText" dxfId="153" priority="44" operator="containsText" text="true">
      <formula>NOT(ISERROR(SEARCH("true",Z67)))</formula>
    </cfRule>
  </conditionalFormatting>
  <conditionalFormatting sqref="Z51">
    <cfRule type="containsText" dxfId="152" priority="43" operator="containsText" text="true">
      <formula>NOT(ISERROR(SEARCH("true",Z51)))</formula>
    </cfRule>
  </conditionalFormatting>
  <conditionalFormatting sqref="Z52">
    <cfRule type="containsText" dxfId="151" priority="42" operator="containsText" text="true">
      <formula>NOT(ISERROR(SEARCH("true",Z52)))</formula>
    </cfRule>
  </conditionalFormatting>
  <conditionalFormatting sqref="Z145">
    <cfRule type="containsText" dxfId="150" priority="41" operator="containsText" text="true">
      <formula>NOT(ISERROR(SEARCH("true",Z145)))</formula>
    </cfRule>
  </conditionalFormatting>
  <conditionalFormatting sqref="Z147">
    <cfRule type="containsText" dxfId="149" priority="40" operator="containsText" text="true">
      <formula>NOT(ISERROR(SEARCH("true",Z147)))</formula>
    </cfRule>
  </conditionalFormatting>
  <conditionalFormatting sqref="AA68:AA131 AA54:AA61 AA146 AA148:AA155 AA171:AA177 AA179:AA200 AA5:AA50 AA63:AA65 AA134:AA144">
    <cfRule type="containsText" dxfId="148" priority="39" operator="containsText" text="true">
      <formula>NOT(ISERROR(SEARCH("true",AA5)))</formula>
    </cfRule>
  </conditionalFormatting>
  <conditionalFormatting sqref="AA4">
    <cfRule type="containsText" dxfId="147" priority="37" operator="containsText" text="true">
      <formula>NOT(ISERROR(SEARCH("true",AA4)))</formula>
    </cfRule>
  </conditionalFormatting>
  <conditionalFormatting sqref="AA178">
    <cfRule type="containsText" dxfId="146" priority="36" operator="containsText" text="true">
      <formula>NOT(ISERROR(SEARCH("true",AA178)))</formula>
    </cfRule>
  </conditionalFormatting>
  <conditionalFormatting sqref="AA66">
    <cfRule type="containsText" dxfId="145" priority="35" operator="containsText" text="true">
      <formula>NOT(ISERROR(SEARCH("true",AA66)))</formula>
    </cfRule>
  </conditionalFormatting>
  <conditionalFormatting sqref="AA67">
    <cfRule type="containsText" dxfId="144" priority="34" operator="containsText" text="true">
      <formula>NOT(ISERROR(SEARCH("true",AA67)))</formula>
    </cfRule>
  </conditionalFormatting>
  <conditionalFormatting sqref="AA51">
    <cfRule type="containsText" dxfId="143" priority="33" operator="containsText" text="true">
      <formula>NOT(ISERROR(SEARCH("true",AA51)))</formula>
    </cfRule>
  </conditionalFormatting>
  <conditionalFormatting sqref="AA52">
    <cfRule type="containsText" dxfId="142" priority="32" operator="containsText" text="true">
      <formula>NOT(ISERROR(SEARCH("true",AA52)))</formula>
    </cfRule>
  </conditionalFormatting>
  <conditionalFormatting sqref="AA145">
    <cfRule type="containsText" dxfId="141" priority="31" operator="containsText" text="true">
      <formula>NOT(ISERROR(SEARCH("true",AA145)))</formula>
    </cfRule>
  </conditionalFormatting>
  <conditionalFormatting sqref="AA147">
    <cfRule type="containsText" dxfId="140" priority="30" operator="containsText" text="true">
      <formula>NOT(ISERROR(SEARCH("true",AA147)))</formula>
    </cfRule>
  </conditionalFormatting>
  <conditionalFormatting sqref="G53">
    <cfRule type="containsText" dxfId="139" priority="29" operator="containsText" text="true">
      <formula>NOT(ISERROR(SEARCH("true",G53)))</formula>
    </cfRule>
  </conditionalFormatting>
  <conditionalFormatting sqref="A53:Y53 AV53:CT53 AB53:AR53 CV53:DB53">
    <cfRule type="containsText" dxfId="138" priority="28" operator="containsText" text="true">
      <formula>NOT(ISERROR(SEARCH("true",A53)))</formula>
    </cfRule>
  </conditionalFormatting>
  <conditionalFormatting sqref="AT53">
    <cfRule type="containsText" dxfId="137" priority="27" operator="containsText" text="true">
      <formula>NOT(ISERROR(SEARCH("true",AT53)))</formula>
    </cfRule>
  </conditionalFormatting>
  <conditionalFormatting sqref="AU53">
    <cfRule type="containsText" dxfId="136" priority="26" operator="containsText" text="true">
      <formula>NOT(ISERROR(SEARCH("true",AU53)))</formula>
    </cfRule>
  </conditionalFormatting>
  <conditionalFormatting sqref="AS53">
    <cfRule type="containsText" dxfId="135" priority="25" operator="containsText" text="true">
      <formula>NOT(ISERROR(SEARCH("true",AS53)))</formula>
    </cfRule>
  </conditionalFormatting>
  <conditionalFormatting sqref="CU53">
    <cfRule type="containsText" dxfId="134" priority="24" operator="containsText" text="true">
      <formula>NOT(ISERROR(SEARCH("true",CU53)))</formula>
    </cfRule>
  </conditionalFormatting>
  <conditionalFormatting sqref="Z53">
    <cfRule type="containsText" dxfId="133" priority="23" operator="containsText" text="true">
      <formula>NOT(ISERROR(SEARCH("true",Z53)))</formula>
    </cfRule>
  </conditionalFormatting>
  <conditionalFormatting sqref="AA53">
    <cfRule type="containsText" dxfId="132" priority="22" operator="containsText" text="true">
      <formula>NOT(ISERROR(SEARCH("true",AA53)))</formula>
    </cfRule>
  </conditionalFormatting>
  <conditionalFormatting sqref="G62">
    <cfRule type="containsText" dxfId="131" priority="21" operator="containsText" text="true">
      <formula>NOT(ISERROR(SEARCH("true",G62)))</formula>
    </cfRule>
  </conditionalFormatting>
  <conditionalFormatting sqref="K62:Y62 A62:I62 AT62:CT62 AB62:AR62 CV62:DB62">
    <cfRule type="containsText" dxfId="130" priority="20" operator="containsText" text="true">
      <formula>NOT(ISERROR(SEARCH("true",A62)))</formula>
    </cfRule>
  </conditionalFormatting>
  <conditionalFormatting sqref="J62">
    <cfRule type="containsText" dxfId="129" priority="19" operator="containsText" text="true">
      <formula>NOT(ISERROR(SEARCH("true",J62)))</formula>
    </cfRule>
  </conditionalFormatting>
  <conditionalFormatting sqref="AS62">
    <cfRule type="containsText" dxfId="128" priority="18" operator="containsText" text="true">
      <formula>NOT(ISERROR(SEARCH("true",AS62)))</formula>
    </cfRule>
  </conditionalFormatting>
  <conditionalFormatting sqref="CU62">
    <cfRule type="containsText" dxfId="127" priority="17" operator="containsText" text="true">
      <formula>NOT(ISERROR(SEARCH("true",CU62)))</formula>
    </cfRule>
  </conditionalFormatting>
  <conditionalFormatting sqref="Z62">
    <cfRule type="containsText" dxfId="126" priority="16" operator="containsText" text="true">
      <formula>NOT(ISERROR(SEARCH("true",Z62)))</formula>
    </cfRule>
  </conditionalFormatting>
  <conditionalFormatting sqref="AA62">
    <cfRule type="containsText" dxfId="125" priority="15" operator="containsText" text="true">
      <formula>NOT(ISERROR(SEARCH("true",AA62)))</formula>
    </cfRule>
  </conditionalFormatting>
  <conditionalFormatting sqref="G132">
    <cfRule type="containsText" dxfId="124" priority="14" operator="containsText" text="true">
      <formula>NOT(ISERROR(SEARCH("true",G132)))</formula>
    </cfRule>
  </conditionalFormatting>
  <conditionalFormatting sqref="AT132 AB132:AR132 CV132:DB132 AV132:CT132 A132:Y132">
    <cfRule type="containsText" dxfId="123" priority="13" operator="containsText" text="true">
      <formula>NOT(ISERROR(SEARCH("true",A132)))</formula>
    </cfRule>
  </conditionalFormatting>
  <conditionalFormatting sqref="AU132">
    <cfRule type="containsText" dxfId="122" priority="12" operator="containsText" text="true">
      <formula>NOT(ISERROR(SEARCH("true",AU132)))</formula>
    </cfRule>
  </conditionalFormatting>
  <conditionalFormatting sqref="AS132">
    <cfRule type="containsText" dxfId="121" priority="11" operator="containsText" text="true">
      <formula>NOT(ISERROR(SEARCH("true",AS132)))</formula>
    </cfRule>
  </conditionalFormatting>
  <conditionalFormatting sqref="CU132">
    <cfRule type="containsText" dxfId="120" priority="10" operator="containsText" text="true">
      <formula>NOT(ISERROR(SEARCH("true",CU132)))</formula>
    </cfRule>
  </conditionalFormatting>
  <conditionalFormatting sqref="Z132">
    <cfRule type="containsText" dxfId="119" priority="9" operator="containsText" text="true">
      <formula>NOT(ISERROR(SEARCH("true",Z132)))</formula>
    </cfRule>
  </conditionalFormatting>
  <conditionalFormatting sqref="AA132">
    <cfRule type="containsText" dxfId="118" priority="8" operator="containsText" text="true">
      <formula>NOT(ISERROR(SEARCH("true",AA132)))</formula>
    </cfRule>
  </conditionalFormatting>
  <conditionalFormatting sqref="G133">
    <cfRule type="containsText" dxfId="117" priority="7" operator="containsText" text="true">
      <formula>NOT(ISERROR(SEARCH("true",G133)))</formula>
    </cfRule>
  </conditionalFormatting>
  <conditionalFormatting sqref="AT133 AB133:AR133 CV133:DB133 AV133:CT133 A133:Y133">
    <cfRule type="containsText" dxfId="116" priority="6" operator="containsText" text="true">
      <formula>NOT(ISERROR(SEARCH("true",A133)))</formula>
    </cfRule>
  </conditionalFormatting>
  <conditionalFormatting sqref="AU133">
    <cfRule type="containsText" dxfId="115" priority="5" operator="containsText" text="true">
      <formula>NOT(ISERROR(SEARCH("true",AU133)))</formula>
    </cfRule>
  </conditionalFormatting>
  <conditionalFormatting sqref="AS133">
    <cfRule type="containsText" dxfId="114" priority="4" operator="containsText" text="true">
      <formula>NOT(ISERROR(SEARCH("true",AS133)))</formula>
    </cfRule>
  </conditionalFormatting>
  <conditionalFormatting sqref="CU133">
    <cfRule type="containsText" dxfId="113" priority="3" operator="containsText" text="true">
      <formula>NOT(ISERROR(SEARCH("true",CU133)))</formula>
    </cfRule>
  </conditionalFormatting>
  <conditionalFormatting sqref="Z133">
    <cfRule type="containsText" dxfId="112" priority="2" operator="containsText" text="true">
      <formula>NOT(ISERROR(SEARCH("true",Z133)))</formula>
    </cfRule>
  </conditionalFormatting>
  <conditionalFormatting sqref="AA133">
    <cfRule type="containsText" dxfId="111" priority="1" operator="containsText" text="true">
      <formula>NOT(ISERROR(SEARCH("true",AA133)))</formula>
    </cfRule>
  </conditionalFormatting>
  <dataValidations count="10">
    <dataValidation type="whole" allowBlank="1" showInputMessage="1" showErrorMessage="1" sqref="H4:H336" xr:uid="{00000000-0002-0000-0000-000000000000}">
      <formula1>1</formula1>
      <formula2>2</formula2>
    </dataValidation>
    <dataValidation type="decimal" operator="greaterThanOrEqual" allowBlank="1" showInputMessage="1" showErrorMessage="1" sqref="BD4:BG336 J4:J336 AH4:AH336 AC4:AF336 AJ214:AJ336" xr:uid="{00000000-0002-0000-0000-000001000000}">
      <formula1>0</formula1>
    </dataValidation>
    <dataValidation type="whole" allowBlank="1" showInputMessage="1" showErrorMessage="1" sqref="AK4:AK336" xr:uid="{00000000-0002-0000-0000-000002000000}">
      <formula1>1</formula1>
      <formula2>10</formula2>
    </dataValidation>
    <dataValidation type="whole" allowBlank="1" showInputMessage="1" showErrorMessage="1" sqref="BJ4:BJ336 BB4:BB336 AX4:AX336 AT4:AT336 AP4:AP336" xr:uid="{00000000-0002-0000-0000-000003000000}">
      <formula1>0</formula1>
      <formula2>24</formula2>
    </dataValidation>
    <dataValidation type="whole" allowBlank="1" showInputMessage="1" showErrorMessage="1" sqref="BN4:BN336 AI4:AI336" xr:uid="{00000000-0002-0000-0000-000004000000}">
      <formula1>0</formula1>
      <formula2>9</formula2>
    </dataValidation>
    <dataValidation type="whole" allowBlank="1" showInputMessage="1" showErrorMessage="1" sqref="AG4:AG336" xr:uid="{00000000-0002-0000-0000-000005000000}">
      <formula1>0</formula1>
      <formula2>5</formula2>
    </dataValidation>
    <dataValidation type="decimal" operator="greaterThanOrEqual" allowBlank="1" showInputMessage="1" showErrorMessage="1" sqref="F4:F336" xr:uid="{00000000-0002-0000-0000-000006000000}">
      <formula1>1</formula1>
    </dataValidation>
    <dataValidation type="list" allowBlank="1" showInputMessage="1" showErrorMessage="1" sqref="E4:E336" xr:uid="{00000000-0002-0000-0000-000008000000}">
      <formula1>$A$4:$A$236</formula1>
    </dataValidation>
    <dataValidation type="custom" allowBlank="1" showInputMessage="1" showErrorMessage="1" sqref="A4:A336 C4:D336" xr:uid="{00000000-0002-0000-0000-000009000000}">
      <formula1>COUNTIF($C:$D, C4)&lt;=1</formula1>
    </dataValidation>
    <dataValidation type="whole" operator="greaterThanOrEqual" allowBlank="1" showInputMessage="1" showErrorMessage="1" sqref="AJ4:AJ213" xr:uid="{B0B3304B-5FC4-4CD4-92E5-1CA929882700}">
      <formula1>-72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N4:V336 DB4:DB336 CS4:CS336 CA4:CP336 BU4:BY336 BO4:BO336 AR4:AR336 AL4:AM336 X4:AB336 K4:L336 G4:G336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BK4:BK336 BC4:BC336 AY4:AY336 AU4:AU336 AQ4:AQ336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BM4:BM336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W4:W336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2021-02-06T22:40:48Z</dcterms:modified>
</cp:coreProperties>
</file>