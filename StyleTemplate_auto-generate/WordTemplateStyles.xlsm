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6F21A458-008E-45C1-8AB9-F7B9D12E3D65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39" i="1" l="1"/>
  <c r="CU139" i="1"/>
  <c r="E139" i="1"/>
  <c r="A66" i="1"/>
  <c r="CU66" i="1"/>
  <c r="A67" i="1"/>
  <c r="CU67" i="1"/>
  <c r="A60" i="1"/>
  <c r="CU60" i="1"/>
  <c r="A61" i="1"/>
  <c r="CU61" i="1"/>
  <c r="A36" i="1"/>
  <c r="CU36" i="1"/>
  <c r="A37" i="1"/>
  <c r="CU37" i="1"/>
  <c r="A138" i="1"/>
  <c r="CU138" i="1"/>
  <c r="E138" i="1"/>
  <c r="A68" i="1"/>
  <c r="CU68" i="1"/>
  <c r="A55" i="1"/>
  <c r="CU55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5" i="1"/>
  <c r="CU65" i="1"/>
  <c r="A64" i="1"/>
  <c r="CU64" i="1"/>
  <c r="A63" i="1"/>
  <c r="CU63" i="1"/>
  <c r="A62" i="1"/>
  <c r="CU62" i="1"/>
  <c r="A59" i="1"/>
  <c r="CU59" i="1"/>
  <c r="A58" i="1"/>
  <c r="CU58" i="1"/>
  <c r="A57" i="1"/>
  <c r="CU57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9" i="1"/>
  <c r="E206" i="1"/>
  <c r="E188" i="1"/>
  <c r="E198" i="1"/>
  <c r="E187" i="1"/>
  <c r="E186" i="1"/>
  <c r="E185" i="1"/>
  <c r="E184" i="1"/>
  <c r="E141" i="1"/>
  <c r="E109" i="1"/>
  <c r="E194" i="1"/>
  <c r="E190" i="1"/>
  <c r="E157" i="1"/>
  <c r="E143" i="1"/>
  <c r="E130" i="1"/>
  <c r="E129" i="1"/>
  <c r="E128" i="1"/>
  <c r="E125" i="1"/>
  <c r="E121" i="1"/>
  <c r="E119" i="1"/>
  <c r="E117" i="1"/>
  <c r="E115" i="1"/>
  <c r="E113" i="1"/>
  <c r="E111" i="1"/>
  <c r="E107" i="1"/>
  <c r="E105" i="1"/>
  <c r="E103" i="1"/>
  <c r="E101" i="1"/>
  <c r="E99" i="1"/>
  <c r="E205" i="1"/>
  <c r="E204" i="1"/>
  <c r="E203" i="1"/>
  <c r="E202" i="1"/>
  <c r="E199" i="1"/>
  <c r="E197" i="1"/>
  <c r="E196" i="1"/>
  <c r="E195" i="1"/>
  <c r="E193" i="1"/>
  <c r="E192" i="1"/>
  <c r="E191" i="1"/>
  <c r="E189" i="1"/>
  <c r="E183" i="1"/>
  <c r="E182" i="1"/>
  <c r="E181" i="1"/>
  <c r="E180" i="1"/>
  <c r="E179" i="1"/>
  <c r="E178" i="1"/>
  <c r="E177" i="1"/>
  <c r="E156" i="1"/>
  <c r="E155" i="1"/>
  <c r="E149" i="1"/>
  <c r="E148" i="1"/>
  <c r="E147" i="1"/>
  <c r="E146" i="1"/>
  <c r="E145" i="1"/>
  <c r="E144" i="1"/>
  <c r="E142" i="1"/>
  <c r="E140" i="1"/>
  <c r="E137" i="1"/>
  <c r="E136" i="1"/>
  <c r="E126" i="1"/>
  <c r="E123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87" i="1"/>
  <c r="E86" i="1"/>
  <c r="E85" i="1"/>
  <c r="E84" i="1"/>
  <c r="E83" i="1"/>
  <c r="E82" i="1"/>
  <c r="E81" i="1"/>
  <c r="E80" i="1"/>
</calcChain>
</file>

<file path=xl/sharedStrings.xml><?xml version="1.0" encoding="utf-8"?>
<sst xmlns="http://schemas.openxmlformats.org/spreadsheetml/2006/main" count="2531" uniqueCount="816">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</sst>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67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9" totalsRowShown="0" headerRowDxfId="109" dataDxfId="107" headerRowBorderDxfId="108" tableBorderDxfId="106">
  <autoFilter ref="A3:DB219" xr:uid="{00000000-0009-0000-0100-000002000000}"/>
  <sortState ref="A4:CT495">
    <sortCondition ref="F3:F495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42"/>
  <sheetViews>
    <sheetView tabSelected="1" topLeftCell="A17" zoomScaleNormal="100" workbookViewId="0">
      <pane xSplit="1" topLeftCell="CQ1" activePane="topRight" state="frozen"/>
      <selection pane="topRight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66" t="s">
        <v>76</v>
      </c>
      <c r="C1" s="67"/>
      <c r="D1" s="68"/>
      <c r="E1" s="69" t="s">
        <v>77</v>
      </c>
      <c r="F1" s="69"/>
      <c r="G1" s="69"/>
      <c r="H1" s="69"/>
      <c r="I1" s="70" t="s">
        <v>78</v>
      </c>
      <c r="J1" s="71"/>
      <c r="K1" s="71"/>
      <c r="L1" s="71"/>
      <c r="M1" s="71"/>
      <c r="N1" s="71"/>
      <c r="O1" s="71"/>
      <c r="P1" s="71"/>
      <c r="Q1" s="71"/>
      <c r="R1" s="72"/>
      <c r="S1" s="73" t="s">
        <v>79</v>
      </c>
      <c r="T1" s="73"/>
      <c r="U1" s="73"/>
      <c r="V1" s="73"/>
      <c r="W1" s="73"/>
      <c r="X1" s="76" t="s">
        <v>80</v>
      </c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8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4" t="s">
        <v>82</v>
      </c>
      <c r="BJ1" s="85"/>
      <c r="BK1" s="85"/>
      <c r="BL1" s="86"/>
      <c r="BM1" s="87" t="s">
        <v>88</v>
      </c>
      <c r="BN1" s="88"/>
      <c r="BO1" s="88"/>
      <c r="BP1" s="66" t="s">
        <v>293</v>
      </c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3"/>
      <c r="CW1" s="79" t="s">
        <v>320</v>
      </c>
      <c r="CX1" s="80"/>
      <c r="CY1" s="80"/>
      <c r="CZ1" s="80"/>
      <c r="DA1" s="80"/>
      <c r="DB1" s="81"/>
    </row>
    <row r="2" spans="1:106" s="4" customFormat="1" ht="93.6">
      <c r="A2" s="21" t="s">
        <v>206</v>
      </c>
      <c r="B2" s="20" t="s">
        <v>208</v>
      </c>
      <c r="C2" s="64" t="s">
        <v>331</v>
      </c>
      <c r="D2" s="65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4" t="s">
        <v>199</v>
      </c>
      <c r="T2" s="74"/>
      <c r="U2" s="74"/>
      <c r="V2" s="74"/>
      <c r="W2" s="75"/>
      <c r="X2" s="15" t="s">
        <v>57</v>
      </c>
      <c r="Y2" s="15" t="s">
        <v>57</v>
      </c>
      <c r="Z2" s="21" t="s">
        <v>790</v>
      </c>
      <c r="AA2" s="21" t="s">
        <v>791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792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61" t="s">
        <v>246</v>
      </c>
      <c r="CV2" s="27" t="s">
        <v>785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788</v>
      </c>
      <c r="AA3" s="62" t="s">
        <v>789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62" t="s">
        <v>296</v>
      </c>
      <c r="CV3" s="28" t="s">
        <v>784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3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74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60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739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787</v>
      </c>
      <c r="CU21" s="60" t="str">
        <f>"."&amp;SUBSTITUTE(SUBSTITUTE(SUBSTITUTE(SUBSTITUTE(A21, "(",""),")","")," ",""),"#","")</f>
        <v>.Section-Chapter2SCP2</v>
      </c>
      <c r="CW21" s="7" t="s">
        <v>780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60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60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801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8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7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260</v>
      </c>
      <c r="CR36" s="7" t="s">
        <v>805</v>
      </c>
      <c r="CS36" s="7" t="b">
        <v>1</v>
      </c>
      <c r="CT36" s="7" t="s">
        <v>815</v>
      </c>
      <c r="CU36" s="60" t="str">
        <f t="shared" si="1"/>
        <v>.Section-Illustration-CreditsSIC</v>
      </c>
      <c r="CW36" s="7" t="s">
        <v>805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803</v>
      </c>
      <c r="D37" s="9" t="s">
        <v>802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58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7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260</v>
      </c>
      <c r="CR37" s="7" t="s">
        <v>804</v>
      </c>
      <c r="CS37" s="7" t="b">
        <v>1</v>
      </c>
      <c r="CT37" s="7" t="s">
        <v>806</v>
      </c>
      <c r="CU37" s="60" t="str">
        <f t="shared" si="1"/>
        <v>.Section-PermissionsSPRM</v>
      </c>
      <c r="CW37" s="7" t="s">
        <v>804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3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3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3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3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3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793</v>
      </c>
      <c r="D55" s="7" t="s">
        <v>794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.Verse1Vrs1</v>
      </c>
    </row>
    <row r="57" spans="1:104">
      <c r="A57" s="37" t="str">
        <f t="shared" si="0"/>
        <v>Verse1-indent1 (Vrs1-i1)</v>
      </c>
      <c r="C57" s="7" t="s">
        <v>436</v>
      </c>
      <c r="D57" s="7" t="s">
        <v>440</v>
      </c>
      <c r="E57" s="7" t="s">
        <v>451</v>
      </c>
      <c r="F57" s="5">
        <v>1</v>
      </c>
      <c r="G57" s="7" t="b">
        <v>0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72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.Verse1-indent1Vrs1-i1</v>
      </c>
    </row>
    <row r="58" spans="1:104">
      <c r="A58" s="37" t="str">
        <f t="shared" si="0"/>
        <v>Verse1-indent2 (Vrs1-i2)</v>
      </c>
      <c r="C58" s="7" t="s">
        <v>437</v>
      </c>
      <c r="D58" s="7" t="s">
        <v>441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108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.Verse1-indent2Vrs1-i2</v>
      </c>
    </row>
    <row r="59" spans="1:104">
      <c r="A59" s="37" t="str">
        <f t="shared" si="0"/>
        <v>Verse1-indent3 (Vrs1-i3)</v>
      </c>
      <c r="C59" s="7" t="s">
        <v>438</v>
      </c>
      <c r="D59" s="7" t="s">
        <v>442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144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.Verse1-indent3Vrs1-i3</v>
      </c>
    </row>
    <row r="60" spans="1:104">
      <c r="A60" s="37" t="str">
        <f t="shared" ref="A60:A61" si="2">IF($D60="","",TRIM($C60)&amp;" "&amp;CHAR(40)&amp;TRIM($D60)&amp;CHAR(41))</f>
        <v>Verse1-indent4 (Vrs1-i4)</v>
      </c>
      <c r="C60" s="7" t="s">
        <v>807</v>
      </c>
      <c r="D60" s="7" t="s">
        <v>809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180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ref="CU60:CU61" si="3">"."&amp;SUBSTITUTE(SUBSTITUTE(SUBSTITUTE(SUBSTITUTE(A60, "(",""),")","")," ",""),"#","")</f>
        <v>.Verse1-indent4Vrs1-i4</v>
      </c>
    </row>
    <row r="61" spans="1:104">
      <c r="A61" s="37" t="str">
        <f t="shared" si="2"/>
        <v>Verse1-indent5 (Vrs1-i5)</v>
      </c>
      <c r="C61" s="7" t="s">
        <v>808</v>
      </c>
      <c r="D61" s="7" t="s">
        <v>810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216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3" t="str">
        <f t="shared" si="3"/>
        <v>.Verse1-indent5Vrs1-i5</v>
      </c>
    </row>
    <row r="62" spans="1:104">
      <c r="A62" s="37" t="str">
        <f t="shared" si="0"/>
        <v>Verse2 (Vrs2)</v>
      </c>
      <c r="C62" s="7" t="s">
        <v>443</v>
      </c>
      <c r="D62" s="7" t="s">
        <v>444</v>
      </c>
      <c r="E62" s="7" t="s">
        <v>452</v>
      </c>
      <c r="F62" s="5">
        <v>1</v>
      </c>
      <c r="G62" s="7" t="b">
        <v>1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739</v>
      </c>
      <c r="AT62" s="5">
        <v>7</v>
      </c>
      <c r="AU62" s="7">
        <v>18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3" t="str">
        <f t="shared" si="1"/>
        <v>.Verse2Vrs2</v>
      </c>
    </row>
    <row r="63" spans="1:104">
      <c r="A63" s="37" t="str">
        <f t="shared" si="0"/>
        <v>Verse2-indent1 (Vrs2-i1)</v>
      </c>
      <c r="C63" s="7" t="s">
        <v>445</v>
      </c>
      <c r="D63" s="7" t="s">
        <v>448</v>
      </c>
      <c r="E63" s="7" t="s">
        <v>452</v>
      </c>
      <c r="F63" s="5">
        <v>1</v>
      </c>
      <c r="G63" s="7" t="b">
        <v>0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72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3" t="str">
        <f t="shared" si="1"/>
        <v>.Verse2-indent1Vrs2-i1</v>
      </c>
    </row>
    <row r="64" spans="1:104">
      <c r="A64" s="37" t="str">
        <f t="shared" si="0"/>
        <v>Verse2-indent2 (Vrs2-i2)</v>
      </c>
      <c r="C64" s="7" t="s">
        <v>446</v>
      </c>
      <c r="D64" s="7" t="s">
        <v>449</v>
      </c>
      <c r="E64" s="7" t="s">
        <v>452</v>
      </c>
      <c r="F64" s="5">
        <v>1</v>
      </c>
      <c r="G64" s="7" t="b">
        <v>0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108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3" t="str">
        <f t="shared" si="1"/>
        <v>.Verse2-indent2Vrs2-i2</v>
      </c>
    </row>
    <row r="65" spans="1:99">
      <c r="A65" s="37" t="str">
        <f t="shared" si="0"/>
        <v>Verse2-indent3 (Vrs2-i3)</v>
      </c>
      <c r="C65" s="7" t="s">
        <v>447</v>
      </c>
      <c r="D65" s="7" t="s">
        <v>450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144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3" t="str">
        <f t="shared" si="1"/>
        <v>.Verse2-indent3Vrs2-i3</v>
      </c>
    </row>
    <row r="66" spans="1:99">
      <c r="A66" s="37" t="str">
        <f t="shared" ref="A66:A67" si="4">IF($D66="","",TRIM($C66)&amp;" "&amp;CHAR(40)&amp;TRIM($D66)&amp;CHAR(41))</f>
        <v>Verse2-indent4 (Vrs2-i4)</v>
      </c>
      <c r="C66" s="7" t="s">
        <v>811</v>
      </c>
      <c r="D66" s="7" t="s">
        <v>812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180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3" t="str">
        <f t="shared" ref="CU66:CU67" si="5">"."&amp;SUBSTITUTE(SUBSTITUTE(SUBSTITUTE(SUBSTITUTE(A66, "(",""),")","")," ",""),"#","")</f>
        <v>.Verse2-indent4Vrs2-i4</v>
      </c>
    </row>
    <row r="67" spans="1:99">
      <c r="A67" s="37" t="str">
        <f t="shared" si="4"/>
        <v>Verse2-indent5 (Vrs2-i5)</v>
      </c>
      <c r="C67" s="7" t="s">
        <v>813</v>
      </c>
      <c r="D67" s="7" t="s">
        <v>814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216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3" t="str">
        <f t="shared" si="5"/>
        <v>.Verse2-indent5Vrs2-i5</v>
      </c>
    </row>
    <row r="68" spans="1:99">
      <c r="A68" s="37" t="str">
        <f t="shared" si="0"/>
        <v>Verse-Source (Vsrc)</v>
      </c>
      <c r="C68" s="7" t="s">
        <v>795</v>
      </c>
      <c r="D68" s="7" t="s">
        <v>796</v>
      </c>
      <c r="E68" s="7" t="s">
        <v>426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2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739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3" t="str">
        <f t="shared" ref="CU68" si="6">"."&amp;SUBSTITUTE(SUBSTITUTE(SUBSTITUTE(SUBSTITUTE(A68, "(",""),")","")," ",""),"#","")</f>
        <v>.Verse-SourceVsrc</v>
      </c>
    </row>
    <row r="69" spans="1:99">
      <c r="A69" s="37" t="str">
        <f t="shared" si="0"/>
        <v>Quotation (Quo)</v>
      </c>
      <c r="C69" s="7" t="s">
        <v>348</v>
      </c>
      <c r="D69" s="7" t="s">
        <v>562</v>
      </c>
      <c r="E69" s="7" t="s">
        <v>563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36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739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CU69" s="63" t="str">
        <f t="shared" si="1"/>
        <v>.QuotationQuo</v>
      </c>
    </row>
    <row r="70" spans="1:99">
      <c r="A70" s="37" t="str">
        <f t="shared" si="0"/>
        <v>Extract1 (Ext1)</v>
      </c>
      <c r="C70" s="7" t="s">
        <v>453</v>
      </c>
      <c r="D70" s="7" t="s">
        <v>454</v>
      </c>
      <c r="E70" s="7" t="s">
        <v>457</v>
      </c>
      <c r="F70" s="5">
        <v>1</v>
      </c>
      <c r="G70" s="7" t="b">
        <v>1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0</v>
      </c>
      <c r="AJ70" s="7">
        <v>36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W70" s="7" t="b">
        <v>1</v>
      </c>
      <c r="CU70" s="63" t="str">
        <f t="shared" si="1"/>
        <v>.Extract1Ext1</v>
      </c>
    </row>
    <row r="71" spans="1:99">
      <c r="A71" s="37" t="str">
        <f t="shared" si="0"/>
        <v>Extract2 (Ext2)</v>
      </c>
      <c r="C71" s="7" t="s">
        <v>455</v>
      </c>
      <c r="D71" s="7" t="s">
        <v>456</v>
      </c>
      <c r="E71" s="7" t="s">
        <v>458</v>
      </c>
      <c r="F71" s="5">
        <v>1</v>
      </c>
      <c r="G71" s="7" t="b">
        <v>1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739</v>
      </c>
      <c r="AT71" s="5">
        <v>7</v>
      </c>
      <c r="AU71" s="7">
        <v>18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BW71" s="7" t="b">
        <v>1</v>
      </c>
      <c r="CU71" s="63" t="str">
        <f t="shared" si="1"/>
        <v>.Extract2Ext2</v>
      </c>
    </row>
    <row r="72" spans="1:99">
      <c r="A72" s="37" t="str">
        <f t="shared" si="0"/>
        <v>Extract3 (Ext3)</v>
      </c>
      <c r="C72" s="7" t="s">
        <v>743</v>
      </c>
      <c r="D72" s="7" t="s">
        <v>745</v>
      </c>
      <c r="E72" s="7" t="s">
        <v>747</v>
      </c>
      <c r="F72" s="5">
        <v>1</v>
      </c>
      <c r="G72" s="7" t="b">
        <v>1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36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739</v>
      </c>
      <c r="AT72" s="5">
        <v>8</v>
      </c>
      <c r="AU72" s="7">
        <v>18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3" t="str">
        <f t="shared" si="1"/>
        <v>.Extract3Ext3</v>
      </c>
    </row>
    <row r="73" spans="1:99">
      <c r="A73" s="37" t="str">
        <f t="shared" si="0"/>
        <v>Extract4 (Ext4)</v>
      </c>
      <c r="C73" s="7" t="s">
        <v>744</v>
      </c>
      <c r="D73" s="7" t="s">
        <v>746</v>
      </c>
      <c r="E73" s="7" t="s">
        <v>748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739</v>
      </c>
      <c r="AT73" s="5">
        <v>12</v>
      </c>
      <c r="AU73" s="7">
        <v>18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3" t="str">
        <f t="shared" si="1"/>
        <v>.Extract4Ext4</v>
      </c>
    </row>
    <row r="74" spans="1:99">
      <c r="A74" s="37" t="str">
        <f t="shared" si="0"/>
        <v>Source (Src)</v>
      </c>
      <c r="C74" s="7" t="s">
        <v>349</v>
      </c>
      <c r="D74" s="7" t="s">
        <v>350</v>
      </c>
      <c r="E74" s="7" t="s">
        <v>426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2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739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1"/>
        <v>.SourceSrc</v>
      </c>
    </row>
    <row r="75" spans="1:99">
      <c r="A75" s="37" t="str">
        <f t="shared" si="0"/>
        <v>Epigraph-Non-Verse (Epi)</v>
      </c>
      <c r="C75" s="7" t="s">
        <v>459</v>
      </c>
      <c r="D75" s="7" t="s">
        <v>460</v>
      </c>
      <c r="E75" s="7" t="s">
        <v>461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739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X75" s="7" t="b">
        <v>1</v>
      </c>
      <c r="CU75" s="63" t="str">
        <f t="shared" ref="CU75:CU140" si="7">"."&amp;SUBSTITUTE(SUBSTITUTE(SUBSTITUTE(SUBSTITUTE(A75, "(",""),")","")," ",""),"#","")</f>
        <v>.Epigraph-Non-VerseEpi</v>
      </c>
    </row>
    <row r="76" spans="1:99">
      <c r="A76" s="37" t="str">
        <f t="shared" si="0"/>
        <v>Epigraph-Verse (Epiv)</v>
      </c>
      <c r="C76" s="7" t="s">
        <v>462</v>
      </c>
      <c r="D76" s="7" t="s">
        <v>463</v>
      </c>
      <c r="E76" s="7" t="s">
        <v>464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739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X76" s="7" t="b">
        <v>1</v>
      </c>
      <c r="CU76" s="63" t="str">
        <f t="shared" si="7"/>
        <v>.Epigraph-VerseEpiv</v>
      </c>
    </row>
    <row r="77" spans="1:99">
      <c r="A77" s="37" t="str">
        <f t="shared" si="0"/>
        <v>Epigraph-Source (Episrc)</v>
      </c>
      <c r="C77" s="7" t="s">
        <v>465</v>
      </c>
      <c r="D77" s="7" t="s">
        <v>692</v>
      </c>
      <c r="E77" s="7" t="s">
        <v>426</v>
      </c>
      <c r="F77" s="5">
        <v>1</v>
      </c>
      <c r="G77" s="7" t="b">
        <v>1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BX77" s="7" t="b">
        <v>1</v>
      </c>
      <c r="CU77" s="63" t="str">
        <f t="shared" si="7"/>
        <v>.Epigraph-SourceEpisrc</v>
      </c>
    </row>
    <row r="78" spans="1:99">
      <c r="A78" s="37" t="str">
        <f t="shared" si="0"/>
        <v>Headnote (Hdnt)</v>
      </c>
      <c r="C78" s="7" t="s">
        <v>337</v>
      </c>
      <c r="D78" s="7" t="s">
        <v>586</v>
      </c>
      <c r="E78" s="7" t="s">
        <v>426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1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7"/>
        <v>.HeadnoteHdnt</v>
      </c>
    </row>
    <row r="79" spans="1:99">
      <c r="A79" s="37" t="str">
        <f t="shared" si="0"/>
        <v>Dateline (Date)</v>
      </c>
      <c r="C79" s="7" t="s">
        <v>351</v>
      </c>
      <c r="D79" s="7" t="s">
        <v>352</v>
      </c>
      <c r="E79" s="7" t="s">
        <v>577</v>
      </c>
      <c r="F79" s="5">
        <v>1</v>
      </c>
      <c r="G79" s="7" t="b">
        <v>0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0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7"/>
        <v>.DatelineDate</v>
      </c>
    </row>
    <row r="80" spans="1:99">
      <c r="A80" s="37" t="str">
        <f t="shared" si="0"/>
        <v>Address (Add)</v>
      </c>
      <c r="C80" s="7" t="s">
        <v>202</v>
      </c>
      <c r="D80" s="7" t="s">
        <v>353</v>
      </c>
      <c r="E80" s="37" t="str">
        <f t="shared" ref="E80:E130" si="8">IF($D80="","",TRIM($C80)&amp;" "&amp;CHAR(40)&amp;TRIM($D80)&amp;CHAR(41))</f>
        <v>Address (Add)</v>
      </c>
      <c r="F80" s="5">
        <v>1</v>
      </c>
      <c r="G80" s="7" t="b">
        <v>0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0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0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7"/>
        <v>.AddressAdd</v>
      </c>
    </row>
    <row r="81" spans="1:99">
      <c r="A81" s="37" t="str">
        <f t="shared" si="0"/>
        <v>Location (Loc)</v>
      </c>
      <c r="C81" s="7" t="s">
        <v>354</v>
      </c>
      <c r="D81" s="7" t="s">
        <v>355</v>
      </c>
      <c r="E81" s="37" t="str">
        <f t="shared" si="8"/>
        <v>Location (Loc)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7"/>
        <v>.LocationLoc</v>
      </c>
    </row>
    <row r="82" spans="1:99">
      <c r="A82" s="37" t="str">
        <f t="shared" si="0"/>
        <v>Signature (Sig)</v>
      </c>
      <c r="C82" s="7" t="s">
        <v>356</v>
      </c>
      <c r="D82" s="7" t="s">
        <v>357</v>
      </c>
      <c r="E82" s="37" t="str">
        <f t="shared" si="8"/>
        <v>Signature (Sig)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2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7"/>
        <v>.SignatureSig</v>
      </c>
    </row>
    <row r="83" spans="1:99">
      <c r="A83" s="37" t="str">
        <f t="shared" si="0"/>
        <v>Salutation (Sal)</v>
      </c>
      <c r="C83" s="7" t="s">
        <v>358</v>
      </c>
      <c r="D83" s="7" t="s">
        <v>359</v>
      </c>
      <c r="E83" s="37" t="str">
        <f t="shared" si="8"/>
        <v>Salutation (Sal)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7"/>
        <v>.SalutationSal</v>
      </c>
    </row>
    <row r="84" spans="1:99">
      <c r="A84" s="37" t="str">
        <f t="shared" si="0"/>
        <v>Closing (Clos)</v>
      </c>
      <c r="C84" s="7" t="s">
        <v>360</v>
      </c>
      <c r="D84" s="7" t="s">
        <v>587</v>
      </c>
      <c r="E84" s="37" t="str">
        <f t="shared" si="8"/>
        <v>Closing (Clos)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2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7"/>
        <v>.ClosingClos</v>
      </c>
    </row>
    <row r="85" spans="1:99">
      <c r="A85" s="37" t="str">
        <f t="shared" si="0"/>
        <v>Postscript (Pst)</v>
      </c>
      <c r="C85" s="7" t="s">
        <v>361</v>
      </c>
      <c r="D85" s="7" t="s">
        <v>362</v>
      </c>
      <c r="E85" s="37" t="str">
        <f t="shared" si="8"/>
        <v>Postscript (Pst)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7"/>
        <v>.PostscriptPst</v>
      </c>
    </row>
    <row r="86" spans="1:99">
      <c r="A86" s="37" t="str">
        <f t="shared" si="0"/>
        <v>Dedication (Ded)</v>
      </c>
      <c r="C86" s="7" t="s">
        <v>204</v>
      </c>
      <c r="D86" s="7" t="s">
        <v>363</v>
      </c>
      <c r="E86" s="37" t="str">
        <f t="shared" si="8"/>
        <v>Dedication (Ded)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1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7"/>
        <v>.DedicationDed</v>
      </c>
    </row>
    <row r="87" spans="1:99">
      <c r="A87" s="37" t="str">
        <f t="shared" si="0"/>
        <v>Text-Message (Tmg)</v>
      </c>
      <c r="C87" s="7" t="s">
        <v>364</v>
      </c>
      <c r="D87" s="7" t="s">
        <v>365</v>
      </c>
      <c r="E87" s="37" t="str">
        <f t="shared" si="8"/>
        <v>Text-Message (Tmg)</v>
      </c>
      <c r="F87" s="5">
        <v>1</v>
      </c>
      <c r="G87" s="7" t="b">
        <v>0</v>
      </c>
      <c r="H87" s="5">
        <v>1</v>
      </c>
      <c r="I87" s="5" t="s">
        <v>71</v>
      </c>
      <c r="J87" s="5">
        <v>11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36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7"/>
        <v>.Text-MessageTmg</v>
      </c>
    </row>
    <row r="88" spans="1:99">
      <c r="A88" s="37" t="str">
        <f t="shared" si="0"/>
        <v>Computer-Text (Comp)</v>
      </c>
      <c r="C88" s="7" t="s">
        <v>466</v>
      </c>
      <c r="D88" s="7" t="s">
        <v>467</v>
      </c>
      <c r="E88" s="37" t="s">
        <v>468</v>
      </c>
      <c r="F88" s="5">
        <v>1</v>
      </c>
      <c r="G88" s="7" t="b">
        <v>0</v>
      </c>
      <c r="H88" s="5">
        <v>1</v>
      </c>
      <c r="I88" s="5" t="s">
        <v>71</v>
      </c>
      <c r="J88" s="5">
        <v>11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36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7"/>
        <v>.Computer-TextComp</v>
      </c>
    </row>
    <row r="89" spans="1:99">
      <c r="A89" s="37" t="str">
        <f t="shared" si="0"/>
        <v>Custom1 (Cust1)</v>
      </c>
      <c r="C89" s="7" t="s">
        <v>553</v>
      </c>
      <c r="D89" s="7" t="s">
        <v>556</v>
      </c>
      <c r="E89" s="37" t="s">
        <v>560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0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7"/>
        <v>.Custom1Cust1</v>
      </c>
    </row>
    <row r="90" spans="1:99">
      <c r="A90" s="37" t="str">
        <f t="shared" si="0"/>
        <v>Custom2 (Cust2)</v>
      </c>
      <c r="C90" s="7" t="s">
        <v>554</v>
      </c>
      <c r="D90" s="7" t="s">
        <v>555</v>
      </c>
      <c r="E90" s="37" t="s">
        <v>561</v>
      </c>
      <c r="F90" s="5">
        <v>1</v>
      </c>
      <c r="G90" s="7" t="b">
        <v>0</v>
      </c>
      <c r="H90" s="5">
        <v>1</v>
      </c>
      <c r="I90" s="5" t="s">
        <v>66</v>
      </c>
      <c r="J90" s="5">
        <v>12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0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739</v>
      </c>
      <c r="AT90" s="5">
        <v>7</v>
      </c>
      <c r="AU90" s="7">
        <v>18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3" t="str">
        <f t="shared" si="7"/>
        <v>.Custom2Cust2</v>
      </c>
    </row>
    <row r="91" spans="1:99">
      <c r="A91" s="37" t="str">
        <f t="shared" si="0"/>
        <v>Display1 (Disp1)</v>
      </c>
      <c r="C91" s="7" t="s">
        <v>469</v>
      </c>
      <c r="D91" s="7" t="s">
        <v>470</v>
      </c>
      <c r="E91" s="37" t="s">
        <v>471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0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3" t="str">
        <f t="shared" si="7"/>
        <v>.Display1Disp1</v>
      </c>
    </row>
    <row r="92" spans="1:99">
      <c r="A92" s="37" t="str">
        <f t="shared" si="0"/>
        <v>Display2 (Disp2)</v>
      </c>
      <c r="C92" s="7" t="s">
        <v>472</v>
      </c>
      <c r="D92" s="7" t="s">
        <v>473</v>
      </c>
      <c r="E92" s="37" t="s">
        <v>474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739</v>
      </c>
      <c r="AT92" s="5">
        <v>7</v>
      </c>
      <c r="AU92" s="7">
        <v>18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3" t="str">
        <f t="shared" si="7"/>
        <v>.Display2Disp2</v>
      </c>
    </row>
    <row r="93" spans="1:99">
      <c r="A93" s="37" t="str">
        <f>IF($D93="","",TRIM($C93)&amp;" "&amp;CHAR(40)&amp;TRIM($D93)&amp;CHAR(41))</f>
        <v>Table-Head (Tbhd)</v>
      </c>
      <c r="C93" s="7" t="s">
        <v>475</v>
      </c>
      <c r="D93" s="7" t="s">
        <v>476</v>
      </c>
      <c r="E93" s="37" t="s">
        <v>477</v>
      </c>
      <c r="F93" s="5">
        <v>1</v>
      </c>
      <c r="G93" s="7" t="b">
        <v>0</v>
      </c>
      <c r="H93" s="5">
        <v>1</v>
      </c>
      <c r="I93" s="5" t="s">
        <v>1</v>
      </c>
      <c r="J93" s="5">
        <v>11</v>
      </c>
      <c r="K93" s="7" t="b">
        <v>0</v>
      </c>
      <c r="L93" s="5" t="b">
        <v>1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0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739</v>
      </c>
      <c r="AT93" s="5">
        <v>1</v>
      </c>
      <c r="AU93" s="7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3" t="str">
        <f t="shared" si="7"/>
        <v>.Table-HeadTbhd</v>
      </c>
    </row>
    <row r="94" spans="1:99">
      <c r="A94" s="37" t="str">
        <f>IF($D94="","",TRIM($C94)&amp;" "&amp;CHAR(40)&amp;TRIM($D94)&amp;CHAR(41))</f>
        <v>Table-Subhead (Tbsbhd)</v>
      </c>
      <c r="C94" s="7" t="s">
        <v>478</v>
      </c>
      <c r="D94" s="7" t="s">
        <v>479</v>
      </c>
      <c r="E94" s="37" t="s">
        <v>477</v>
      </c>
      <c r="F94" s="5">
        <v>1</v>
      </c>
      <c r="G94" s="7" t="b">
        <v>0</v>
      </c>
      <c r="H94" s="5">
        <v>1</v>
      </c>
      <c r="I94" s="5" t="s">
        <v>1</v>
      </c>
      <c r="J94" s="5">
        <v>11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3" t="str">
        <f t="shared" si="7"/>
        <v>.Table-SubheadTbsbhd</v>
      </c>
    </row>
    <row r="95" spans="1:99">
      <c r="A95" s="37" t="str">
        <f>IF($D95="","",TRIM($C95)&amp;" "&amp;CHAR(40)&amp;TRIM($D95)&amp;CHAR(41))</f>
        <v>Table-Text (Tbtx)</v>
      </c>
      <c r="C95" s="7" t="s">
        <v>480</v>
      </c>
      <c r="D95" s="7" t="s">
        <v>481</v>
      </c>
      <c r="E95" s="37" t="s">
        <v>477</v>
      </c>
      <c r="F95" s="5">
        <v>1</v>
      </c>
      <c r="G95" s="7" t="b">
        <v>0</v>
      </c>
      <c r="H95" s="5">
        <v>1</v>
      </c>
      <c r="I95" s="5" t="s">
        <v>1</v>
      </c>
      <c r="J95" s="5">
        <v>11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739</v>
      </c>
      <c r="AT95" s="5">
        <v>1</v>
      </c>
      <c r="AU95" s="7">
        <v>36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3" t="str">
        <f t="shared" si="7"/>
        <v>.Table-TextTbtx</v>
      </c>
    </row>
    <row r="96" spans="1:99">
      <c r="A96" s="37" t="str">
        <f>IF($D96="","",TRIM($C96)&amp;" "&amp;CHAR(40)&amp;TRIM($D96)&amp;CHAR(41))</f>
        <v>Headline (Hdline)</v>
      </c>
      <c r="C96" s="7" t="s">
        <v>482</v>
      </c>
      <c r="D96" s="7" t="s">
        <v>588</v>
      </c>
      <c r="E96" s="7" t="s">
        <v>426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1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0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1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3" t="str">
        <f t="shared" si="7"/>
        <v>.HeadlineHdline</v>
      </c>
    </row>
    <row r="97" spans="1:99">
      <c r="A97" s="37" t="str">
        <f t="shared" si="0"/>
        <v>Byline (Byline)</v>
      </c>
      <c r="C97" s="7" t="s">
        <v>483</v>
      </c>
      <c r="D97" s="7" t="s">
        <v>483</v>
      </c>
      <c r="E97" s="7" t="s">
        <v>426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0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1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739</v>
      </c>
      <c r="AT97" s="5">
        <v>1</v>
      </c>
      <c r="AU97" s="7">
        <v>36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3" t="str">
        <f t="shared" si="7"/>
        <v>.BylineByline</v>
      </c>
    </row>
    <row r="98" spans="1:99">
      <c r="A98" s="37" t="str">
        <f t="shared" si="0"/>
        <v>Bullet-Level-1-List (Bl1)</v>
      </c>
      <c r="C98" s="7" t="s">
        <v>366</v>
      </c>
      <c r="D98" s="7" t="s">
        <v>589</v>
      </c>
      <c r="E98" s="37" t="str">
        <f t="shared" si="8"/>
        <v>Bullet-Level-1-List (Bl1)</v>
      </c>
      <c r="F98" s="5">
        <v>1</v>
      </c>
      <c r="G98" s="7" t="b">
        <v>1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1</v>
      </c>
      <c r="Z98" s="5" t="b">
        <v>0</v>
      </c>
      <c r="AA98" s="5" t="b">
        <v>0</v>
      </c>
      <c r="AB98" s="5" t="b">
        <v>0</v>
      </c>
      <c r="AC98" s="7">
        <v>54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-18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739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F98" s="7" t="b">
        <v>1</v>
      </c>
      <c r="CU98" s="63" t="str">
        <f t="shared" si="7"/>
        <v>.Bullet-Level-1-ListBl1</v>
      </c>
    </row>
    <row r="99" spans="1:99">
      <c r="A99" s="37" t="str">
        <f t="shared" si="0"/>
        <v>Bullet-Level-1-List-Paragraph (Bl1p)</v>
      </c>
      <c r="C99" s="7" t="s">
        <v>484</v>
      </c>
      <c r="D99" s="7" t="s">
        <v>590</v>
      </c>
      <c r="E99" s="37" t="str">
        <f t="shared" si="8"/>
        <v>Bullet-Level-1-List-Paragraph (Bl1p)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54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739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F99" s="7" t="b">
        <v>1</v>
      </c>
      <c r="CL99" s="7" t="b">
        <v>1</v>
      </c>
      <c r="CU99" s="63" t="str">
        <f t="shared" si="7"/>
        <v>.Bullet-Level-1-List-ParagraphBl1p</v>
      </c>
    </row>
    <row r="100" spans="1:99">
      <c r="A100" s="37" t="str">
        <f t="shared" si="0"/>
        <v>Bullet-Level-2-List (Bl2)</v>
      </c>
      <c r="C100" s="7" t="s">
        <v>367</v>
      </c>
      <c r="D100" s="7" t="s">
        <v>591</v>
      </c>
      <c r="E100" s="37" t="str">
        <f t="shared" si="8"/>
        <v>Bullet-Level-2-List (Bl2)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1</v>
      </c>
      <c r="Z100" s="5" t="b">
        <v>0</v>
      </c>
      <c r="AA100" s="5" t="b">
        <v>0</v>
      </c>
      <c r="AB100" s="5" t="b">
        <v>0</v>
      </c>
      <c r="AC100" s="7">
        <v>90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-18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739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H100" s="7" t="b">
        <v>1</v>
      </c>
      <c r="CU100" s="63" t="str">
        <f t="shared" si="7"/>
        <v>.Bullet-Level-2-ListBl2</v>
      </c>
    </row>
    <row r="101" spans="1:99">
      <c r="A101" s="37" t="str">
        <f t="shared" si="0"/>
        <v>Bullet-Level-2-List-Paragraph (Bl2p)</v>
      </c>
      <c r="C101" s="7" t="s">
        <v>485</v>
      </c>
      <c r="D101" s="7" t="s">
        <v>592</v>
      </c>
      <c r="E101" s="37" t="str">
        <f t="shared" si="8"/>
        <v>Bullet-Level-2-List-Paragraph (Bl2p)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90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H101" s="7" t="b">
        <v>1</v>
      </c>
      <c r="CL101" s="7" t="b">
        <v>1</v>
      </c>
      <c r="CU101" s="63" t="str">
        <f t="shared" si="7"/>
        <v>.Bullet-Level-2-List-ParagraphBl2p</v>
      </c>
    </row>
    <row r="102" spans="1:99">
      <c r="A102" s="37" t="str">
        <f t="shared" si="0"/>
        <v>Bullet-Level-3-List (Bl3)</v>
      </c>
      <c r="C102" s="7" t="s">
        <v>368</v>
      </c>
      <c r="D102" s="7" t="s">
        <v>593</v>
      </c>
      <c r="E102" s="37" t="str">
        <f t="shared" si="8"/>
        <v>Bullet-Level-3-List (Bl3)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1</v>
      </c>
      <c r="Z102" s="5" t="b">
        <v>0</v>
      </c>
      <c r="AA102" s="5" t="b">
        <v>0</v>
      </c>
      <c r="AB102" s="5" t="b">
        <v>0</v>
      </c>
      <c r="AC102" s="7">
        <v>126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-18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J102" s="7" t="b">
        <v>1</v>
      </c>
      <c r="CU102" s="63" t="str">
        <f t="shared" si="7"/>
        <v>.Bullet-Level-3-ListBl3</v>
      </c>
    </row>
    <row r="103" spans="1:99">
      <c r="A103" s="37" t="str">
        <f t="shared" si="0"/>
        <v>Bullet-Level-3-List-Paragraph (Bl3p)</v>
      </c>
      <c r="C103" s="7" t="s">
        <v>486</v>
      </c>
      <c r="D103" s="7" t="s">
        <v>594</v>
      </c>
      <c r="E103" s="37" t="str">
        <f t="shared" si="8"/>
        <v>Bullet-Level-3-List-Paragraph (Bl3p)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126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0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J103" s="7" t="b">
        <v>1</v>
      </c>
      <c r="CL103" s="7" t="b">
        <v>1</v>
      </c>
      <c r="CU103" s="63" t="str">
        <f t="shared" si="7"/>
        <v>.Bullet-Level-3-List-ParagraphBl3p</v>
      </c>
    </row>
    <row r="104" spans="1:99">
      <c r="A104" s="37" t="str">
        <f t="shared" si="0"/>
        <v>Num-Level-1-List (Nl1)</v>
      </c>
      <c r="C104" s="7" t="s">
        <v>369</v>
      </c>
      <c r="D104" s="7" t="s">
        <v>595</v>
      </c>
      <c r="E104" s="37" t="str">
        <f t="shared" si="8"/>
        <v>Num-Level-1-List (Nl1)</v>
      </c>
      <c r="F104" s="5">
        <v>1</v>
      </c>
      <c r="G104" s="7" t="b">
        <v>1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1</v>
      </c>
      <c r="AA104" s="5" t="b">
        <v>0</v>
      </c>
      <c r="AB104" s="5" t="b">
        <v>0</v>
      </c>
      <c r="AC104" s="7">
        <v>54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-18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1</v>
      </c>
      <c r="BO104" s="5" t="b">
        <v>0</v>
      </c>
      <c r="CG104" s="7" t="b">
        <v>1</v>
      </c>
      <c r="CU104" s="63" t="str">
        <f t="shared" si="7"/>
        <v>.Num-Level-1-ListNl1</v>
      </c>
    </row>
    <row r="105" spans="1:99">
      <c r="A105" s="37" t="str">
        <f t="shared" si="0"/>
        <v>Num-Level-1-List-Paragraph (Nl1p)</v>
      </c>
      <c r="C105" s="7" t="s">
        <v>487</v>
      </c>
      <c r="D105" s="7" t="s">
        <v>596</v>
      </c>
      <c r="E105" s="37" t="str">
        <f t="shared" si="8"/>
        <v>Num-Level-1-List-Paragraph (Nl1p)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54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0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G105" s="7" t="b">
        <v>1</v>
      </c>
      <c r="CL105" s="7" t="b">
        <v>1</v>
      </c>
      <c r="CU105" s="63" t="str">
        <f t="shared" si="7"/>
        <v>.Num-Level-1-List-ParagraphNl1p</v>
      </c>
    </row>
    <row r="106" spans="1:99">
      <c r="A106" s="37" t="str">
        <f t="shared" si="0"/>
        <v>Num-Level-2-List (Nl2)</v>
      </c>
      <c r="C106" s="7" t="s">
        <v>370</v>
      </c>
      <c r="D106" s="7" t="s">
        <v>597</v>
      </c>
      <c r="E106" s="37" t="str">
        <f t="shared" si="8"/>
        <v>Num-Level-2-List (Nl2)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1</v>
      </c>
      <c r="AA106" s="5" t="b">
        <v>0</v>
      </c>
      <c r="AB106" s="5" t="b">
        <v>0</v>
      </c>
      <c r="AC106" s="7">
        <v>90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-18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2</v>
      </c>
      <c r="BO106" s="5" t="b">
        <v>0</v>
      </c>
      <c r="CI106" s="7" t="b">
        <v>1</v>
      </c>
      <c r="CU106" s="63" t="str">
        <f t="shared" si="7"/>
        <v>.Num-Level-2-ListNl2</v>
      </c>
    </row>
    <row r="107" spans="1:99">
      <c r="A107" s="37" t="str">
        <f t="shared" si="0"/>
        <v>Num-Level-2-List-Paragraph (Nl2p)</v>
      </c>
      <c r="C107" s="7" t="s">
        <v>488</v>
      </c>
      <c r="D107" s="7" t="s">
        <v>598</v>
      </c>
      <c r="E107" s="37" t="str">
        <f t="shared" si="8"/>
        <v>Num-Level-2-List-Paragraph (Nl2p)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90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0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I107" s="7" t="b">
        <v>1</v>
      </c>
      <c r="CL107" s="7" t="b">
        <v>1</v>
      </c>
      <c r="CU107" s="63" t="str">
        <f t="shared" si="7"/>
        <v>.Num-Level-2-List-ParagraphNl2p</v>
      </c>
    </row>
    <row r="108" spans="1:99">
      <c r="A108" s="37" t="str">
        <f t="shared" si="0"/>
        <v>Num-Level-3-List (Nl3)</v>
      </c>
      <c r="C108" s="7" t="s">
        <v>371</v>
      </c>
      <c r="D108" s="7" t="s">
        <v>599</v>
      </c>
      <c r="E108" s="37" t="str">
        <f t="shared" si="8"/>
        <v>Num-Level-3-List (Nl3)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1</v>
      </c>
      <c r="AA108" s="5" t="b">
        <v>0</v>
      </c>
      <c r="AB108" s="5" t="b">
        <v>0</v>
      </c>
      <c r="AC108" s="7">
        <v>126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-18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3</v>
      </c>
      <c r="BO108" s="5" t="b">
        <v>0</v>
      </c>
      <c r="CK108" s="7" t="b">
        <v>1</v>
      </c>
      <c r="CU108" s="63" t="str">
        <f t="shared" si="7"/>
        <v>.Num-Level-3-ListNl3</v>
      </c>
    </row>
    <row r="109" spans="1:99">
      <c r="A109" s="37" t="str">
        <f t="shared" si="0"/>
        <v>Num-Level-3-List-Paragraph (Nl3p)</v>
      </c>
      <c r="C109" s="7" t="s">
        <v>698</v>
      </c>
      <c r="D109" s="7" t="s">
        <v>600</v>
      </c>
      <c r="E109" s="37" t="str">
        <f t="shared" si="8"/>
        <v>Num-Level-3-List-Paragraph (Nl3p)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126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0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K109" s="7" t="b">
        <v>1</v>
      </c>
      <c r="CL109" s="7" t="b">
        <v>1</v>
      </c>
      <c r="CU109" s="63" t="str">
        <f t="shared" si="7"/>
        <v>.Num-Level-3-List-ParagraphNl3p</v>
      </c>
    </row>
    <row r="110" spans="1:99">
      <c r="A110" s="37" t="str">
        <f t="shared" si="0"/>
        <v>Unnum-Level-1-List (Ul1)</v>
      </c>
      <c r="C110" s="7" t="s">
        <v>372</v>
      </c>
      <c r="D110" s="7" t="s">
        <v>601</v>
      </c>
      <c r="E110" s="37" t="str">
        <f t="shared" si="8"/>
        <v>Unnum-Level-1-List (Ul1)</v>
      </c>
      <c r="F110" s="5">
        <v>1</v>
      </c>
      <c r="G110" s="7" t="b">
        <v>1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36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F110" s="7" t="b">
        <v>1</v>
      </c>
      <c r="CU110" s="63" t="str">
        <f t="shared" si="7"/>
        <v>.Unnum-Level-1-ListUl1</v>
      </c>
    </row>
    <row r="111" spans="1:99">
      <c r="A111" s="37" t="str">
        <f t="shared" si="0"/>
        <v>Unnum-Level-1-List-Paragraph (Ul1p)</v>
      </c>
      <c r="C111" s="7" t="s">
        <v>489</v>
      </c>
      <c r="D111" s="7" t="s">
        <v>602</v>
      </c>
      <c r="E111" s="37" t="str">
        <f t="shared" si="8"/>
        <v>Unnum-Level-1-List-Paragraph (Ul1p)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36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F111" s="7" t="b">
        <v>1</v>
      </c>
      <c r="CL111" s="7" t="b">
        <v>1</v>
      </c>
      <c r="CU111" s="63" t="str">
        <f t="shared" si="7"/>
        <v>.Unnum-Level-1-List-ParagraphUl1p</v>
      </c>
    </row>
    <row r="112" spans="1:99">
      <c r="A112" s="37" t="str">
        <f t="shared" si="0"/>
        <v>Unnum-Level-2-List (Ul2)</v>
      </c>
      <c r="C112" s="7" t="s">
        <v>373</v>
      </c>
      <c r="D112" s="7" t="s">
        <v>603</v>
      </c>
      <c r="E112" s="37" t="str">
        <f t="shared" si="8"/>
        <v>Unnum-Level-2-List (Ul2)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72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H112" s="7" t="b">
        <v>1</v>
      </c>
      <c r="CU112" s="63" t="str">
        <f t="shared" si="7"/>
        <v>.Unnum-Level-2-ListUl2</v>
      </c>
    </row>
    <row r="113" spans="1:99">
      <c r="A113" s="37" t="str">
        <f t="shared" si="0"/>
        <v>Unnum-Level-2-List-Paragraph (Ul2p)</v>
      </c>
      <c r="C113" s="7" t="s">
        <v>490</v>
      </c>
      <c r="D113" s="7" t="s">
        <v>604</v>
      </c>
      <c r="E113" s="37" t="str">
        <f t="shared" si="8"/>
        <v>Unnum-Level-2-List-Paragraph (Ul2p)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72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H113" s="7" t="b">
        <v>1</v>
      </c>
      <c r="CL113" s="7" t="b">
        <v>1</v>
      </c>
      <c r="CU113" s="63" t="str">
        <f t="shared" si="7"/>
        <v>.Unnum-Level-2-List-ParagraphUl2p</v>
      </c>
    </row>
    <row r="114" spans="1:99">
      <c r="A114" s="37" t="str">
        <f t="shared" ref="A114:A205" si="9">IF($D114="","",TRIM($C114)&amp;" "&amp;CHAR(40)&amp;TRIM($D114)&amp;CHAR(41))</f>
        <v>Unnum-Level-3-List (Ul3)</v>
      </c>
      <c r="C114" s="7" t="s">
        <v>374</v>
      </c>
      <c r="D114" s="7" t="s">
        <v>605</v>
      </c>
      <c r="E114" s="37" t="str">
        <f t="shared" si="8"/>
        <v>Unnum-Level-3-List (Ul3)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108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J114" s="7" t="b">
        <v>1</v>
      </c>
      <c r="CU114" s="63" t="str">
        <f t="shared" si="7"/>
        <v>.Unnum-Level-3-ListUl3</v>
      </c>
    </row>
    <row r="115" spans="1:99">
      <c r="A115" s="37" t="str">
        <f t="shared" si="9"/>
        <v>Unnum-Level-3-List-Paragraph (Ul3p)</v>
      </c>
      <c r="C115" s="7" t="s">
        <v>491</v>
      </c>
      <c r="D115" s="7" t="s">
        <v>606</v>
      </c>
      <c r="E115" s="37" t="str">
        <f t="shared" si="8"/>
        <v>Unnum-Level-3-List-Paragraph (Ul3p)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108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J115" s="7" t="b">
        <v>1</v>
      </c>
      <c r="CL115" s="7" t="b">
        <v>1</v>
      </c>
      <c r="CU115" s="63" t="str">
        <f t="shared" si="7"/>
        <v>.Unnum-Level-3-List-ParagraphUl3p</v>
      </c>
    </row>
    <row r="116" spans="1:99">
      <c r="A116" s="37" t="str">
        <f t="shared" si="9"/>
        <v>Alpha-Level-1-List (Al1)</v>
      </c>
      <c r="C116" s="7" t="s">
        <v>699</v>
      </c>
      <c r="D116" s="7" t="s">
        <v>607</v>
      </c>
      <c r="E116" s="37" t="str">
        <f t="shared" si="8"/>
        <v>Alpha-Level-1-List (Al1)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1</v>
      </c>
      <c r="AB116" s="5" t="b">
        <v>0</v>
      </c>
      <c r="AC116" s="7">
        <v>54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-18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1</v>
      </c>
      <c r="BO116" s="5" t="b">
        <v>0</v>
      </c>
      <c r="CG116" s="7" t="b">
        <v>1</v>
      </c>
      <c r="CU116" s="63" t="str">
        <f t="shared" si="7"/>
        <v>.Alpha-Level-1-ListAl1</v>
      </c>
    </row>
    <row r="117" spans="1:99">
      <c r="A117" s="37" t="str">
        <f t="shared" si="9"/>
        <v>Alpha-Level-1-List-Paragraph (Al1p)</v>
      </c>
      <c r="C117" s="7" t="s">
        <v>693</v>
      </c>
      <c r="D117" s="7" t="s">
        <v>608</v>
      </c>
      <c r="E117" s="37" t="str">
        <f t="shared" si="8"/>
        <v>Alpha-Level-1-List-Paragraph (Al1p)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54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G117" s="7" t="b">
        <v>1</v>
      </c>
      <c r="CL117" s="7" t="b">
        <v>1</v>
      </c>
      <c r="CU117" s="63" t="str">
        <f t="shared" si="7"/>
        <v>.Alpha-Level-1-List-ParagraphAl1p</v>
      </c>
    </row>
    <row r="118" spans="1:99">
      <c r="A118" s="37" t="str">
        <f t="shared" si="9"/>
        <v>Alpha-Level-2-List (Al2)</v>
      </c>
      <c r="C118" s="7" t="s">
        <v>694</v>
      </c>
      <c r="D118" s="7" t="s">
        <v>609</v>
      </c>
      <c r="E118" s="37" t="str">
        <f t="shared" si="8"/>
        <v>Alpha-Level-2-List (Al2)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1</v>
      </c>
      <c r="AB118" s="5" t="b">
        <v>0</v>
      </c>
      <c r="AC118" s="7">
        <v>90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-18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2</v>
      </c>
      <c r="BO118" s="5" t="b">
        <v>0</v>
      </c>
      <c r="CI118" s="7" t="b">
        <v>1</v>
      </c>
      <c r="CU118" s="63" t="str">
        <f t="shared" si="7"/>
        <v>.Alpha-Level-2-ListAl2</v>
      </c>
    </row>
    <row r="119" spans="1:99">
      <c r="A119" s="37" t="str">
        <f t="shared" si="9"/>
        <v>Alpha-Level-2-List-Paragraph (Al2p)</v>
      </c>
      <c r="C119" s="7" t="s">
        <v>695</v>
      </c>
      <c r="D119" s="7" t="s">
        <v>610</v>
      </c>
      <c r="E119" s="37" t="str">
        <f t="shared" si="8"/>
        <v>Alpha-Level-2-List-Paragraph (Al2p)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90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0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I119" s="7" t="b">
        <v>1</v>
      </c>
      <c r="CL119" s="7" t="b">
        <v>1</v>
      </c>
      <c r="CU119" s="63" t="str">
        <f t="shared" si="7"/>
        <v>.Alpha-Level-2-List-ParagraphAl2p</v>
      </c>
    </row>
    <row r="120" spans="1:99">
      <c r="A120" s="37" t="str">
        <f t="shared" si="9"/>
        <v>Alpha-Level-3-List (Al3)</v>
      </c>
      <c r="C120" s="7" t="s">
        <v>696</v>
      </c>
      <c r="D120" s="7" t="s">
        <v>611</v>
      </c>
      <c r="E120" s="37" t="str">
        <f t="shared" si="8"/>
        <v>Alpha-Level-3-List (Al3)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1</v>
      </c>
      <c r="AB120" s="5" t="b">
        <v>0</v>
      </c>
      <c r="AC120" s="7">
        <v>126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-18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38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3</v>
      </c>
      <c r="BO120" s="5" t="b">
        <v>0</v>
      </c>
      <c r="CK120" s="7" t="b">
        <v>1</v>
      </c>
      <c r="CU120" s="63" t="str">
        <f t="shared" si="7"/>
        <v>.Alpha-Level-3-ListAl3</v>
      </c>
    </row>
    <row r="121" spans="1:99">
      <c r="A121" s="37" t="str">
        <f t="shared" si="9"/>
        <v>Alpha-Level-3-List-Paragraph (Al3p)</v>
      </c>
      <c r="C121" s="7" t="s">
        <v>697</v>
      </c>
      <c r="D121" s="7" t="s">
        <v>612</v>
      </c>
      <c r="E121" s="37" t="str">
        <f t="shared" si="8"/>
        <v>Alpha-Level-3-List-Paragraph (Al3p)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126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0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38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K121" s="7" t="b">
        <v>1</v>
      </c>
      <c r="CL121" s="7" t="b">
        <v>1</v>
      </c>
      <c r="CU121" s="63" t="str">
        <f t="shared" si="7"/>
        <v>.Alpha-Level-3-List-ParagraphAl3p</v>
      </c>
    </row>
    <row r="122" spans="1:99">
      <c r="A122" s="37" t="str">
        <f t="shared" si="9"/>
        <v>Bulleted-Paragraph (Bp)</v>
      </c>
      <c r="C122" s="7" t="s">
        <v>375</v>
      </c>
      <c r="D122" s="7" t="s">
        <v>376</v>
      </c>
      <c r="E122" s="37" t="str">
        <f t="shared" si="8"/>
        <v>Bulleted-Paragraph (Bp)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1</v>
      </c>
      <c r="Z122" s="5" t="b">
        <v>0</v>
      </c>
      <c r="AA122" s="5" t="b">
        <v>0</v>
      </c>
      <c r="AB122" s="5" t="b">
        <v>0</v>
      </c>
      <c r="AC122" s="7">
        <v>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38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7"/>
        <v>.Bulleted-ParagraphBp</v>
      </c>
    </row>
    <row r="123" spans="1:99">
      <c r="A123" s="37" t="str">
        <f t="shared" si="9"/>
        <v>Numbered-Paragraph (Np)</v>
      </c>
      <c r="C123" s="7" t="s">
        <v>377</v>
      </c>
      <c r="D123" s="7" t="s">
        <v>378</v>
      </c>
      <c r="E123" s="37" t="str">
        <f t="shared" si="8"/>
        <v>Numbered-Paragraph (Np)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1</v>
      </c>
      <c r="AA123" s="5" t="b">
        <v>0</v>
      </c>
      <c r="AB123" s="5" t="b">
        <v>0</v>
      </c>
      <c r="AC123" s="7">
        <v>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0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38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7"/>
        <v>.Numbered-ParagraphNp</v>
      </c>
    </row>
    <row r="124" spans="1:99">
      <c r="A124" s="37" t="str">
        <f t="shared" si="9"/>
        <v>List-Head (Lhead)</v>
      </c>
      <c r="C124" s="7" t="s">
        <v>492</v>
      </c>
      <c r="D124" s="7" t="s">
        <v>613</v>
      </c>
      <c r="E124" s="7" t="s">
        <v>426</v>
      </c>
      <c r="F124" s="5">
        <v>1</v>
      </c>
      <c r="G124" s="7" t="b">
        <v>0</v>
      </c>
      <c r="H124" s="5">
        <v>1</v>
      </c>
      <c r="I124" s="5" t="s">
        <v>67</v>
      </c>
      <c r="J124" s="5">
        <v>14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0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36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6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38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7"/>
        <v>.List-HeadLhead</v>
      </c>
    </row>
    <row r="125" spans="1:99">
      <c r="A125" s="37" t="str">
        <f t="shared" si="9"/>
        <v>Generic-Footnote (Ftnt)</v>
      </c>
      <c r="C125" s="7" t="s">
        <v>493</v>
      </c>
      <c r="D125" s="7" t="s">
        <v>494</v>
      </c>
      <c r="E125" s="37" t="str">
        <f t="shared" si="8"/>
        <v>Generic-Footnote (Ftnt)</v>
      </c>
      <c r="F125" s="5">
        <v>1</v>
      </c>
      <c r="G125" s="7" t="b">
        <v>0</v>
      </c>
      <c r="H125" s="5">
        <v>1</v>
      </c>
      <c r="I125" s="5" t="s">
        <v>66</v>
      </c>
      <c r="J125" s="5">
        <v>10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36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38" t="s">
        <v>739</v>
      </c>
      <c r="AT125" s="5">
        <v>1</v>
      </c>
      <c r="AU125" s="7">
        <v>36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7"/>
        <v>.Generic-FootnoteFtnt</v>
      </c>
    </row>
    <row r="126" spans="1:99">
      <c r="A126" s="37" t="str">
        <f t="shared" si="9"/>
        <v>Reference-Entry (Ref)</v>
      </c>
      <c r="C126" s="7" t="s">
        <v>379</v>
      </c>
      <c r="D126" s="7" t="s">
        <v>614</v>
      </c>
      <c r="E126" s="37" t="str">
        <f t="shared" si="8"/>
        <v>Reference-Entry (Ref)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36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38" t="s">
        <v>739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7"/>
        <v>.Reference-EntryRef</v>
      </c>
    </row>
    <row r="127" spans="1:99">
      <c r="A127" s="37" t="str">
        <f t="shared" si="9"/>
        <v>Source-Note (Srcnt)</v>
      </c>
      <c r="C127" s="7" t="s">
        <v>380</v>
      </c>
      <c r="D127" s="7" t="s">
        <v>615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66</v>
      </c>
      <c r="J127" s="5">
        <v>12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36</v>
      </c>
      <c r="AK127" s="7">
        <v>10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38" t="s">
        <v>739</v>
      </c>
      <c r="AT127" s="5">
        <v>1</v>
      </c>
      <c r="AU127" s="7">
        <v>36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3" t="str">
        <f t="shared" si="7"/>
        <v>.Source-NoteSrcnt</v>
      </c>
    </row>
    <row r="128" spans="1:99">
      <c r="A128" s="37" t="str">
        <f t="shared" si="9"/>
        <v>Index-Entry (Idx1)</v>
      </c>
      <c r="C128" s="7" t="s">
        <v>495</v>
      </c>
      <c r="D128" s="7" t="s">
        <v>624</v>
      </c>
      <c r="E128" s="37" t="str">
        <f t="shared" si="8"/>
        <v>Index-Entry (Idx1)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18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-18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7" t="s">
        <v>68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3" t="str">
        <f t="shared" si="7"/>
        <v>.Index-EntryIdx1</v>
      </c>
    </row>
    <row r="129" spans="1:99">
      <c r="A129" s="37" t="str">
        <f t="shared" si="9"/>
        <v>Index-Sub-Entry (Idx2)</v>
      </c>
      <c r="C129" s="7" t="s">
        <v>496</v>
      </c>
      <c r="D129" s="7" t="s">
        <v>625</v>
      </c>
      <c r="E129" s="37" t="str">
        <f t="shared" si="8"/>
        <v>Index-Sub-Entry (Idx2)</v>
      </c>
      <c r="F129" s="5">
        <v>1</v>
      </c>
      <c r="G129" s="7" t="b">
        <v>0</v>
      </c>
      <c r="H129" s="5">
        <v>1</v>
      </c>
      <c r="I129" s="5" t="s">
        <v>66</v>
      </c>
      <c r="J129" s="5">
        <v>12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54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-18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47" t="s">
        <v>68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3" t="str">
        <f t="shared" si="7"/>
        <v>.Index-Sub-EntryIdx2</v>
      </c>
    </row>
    <row r="130" spans="1:99">
      <c r="A130" s="37" t="str">
        <f t="shared" si="9"/>
        <v>Index-Sub-Sub-Entry (Idx3)</v>
      </c>
      <c r="C130" s="7" t="s">
        <v>497</v>
      </c>
      <c r="D130" s="7" t="s">
        <v>626</v>
      </c>
      <c r="E130" s="37" t="str">
        <f t="shared" si="8"/>
        <v>Index-Sub-Sub-Entry (Idx3)</v>
      </c>
      <c r="F130" s="5">
        <v>1</v>
      </c>
      <c r="G130" s="7" t="b">
        <v>0</v>
      </c>
      <c r="H130" s="5">
        <v>1</v>
      </c>
      <c r="I130" s="5" t="s">
        <v>66</v>
      </c>
      <c r="J130" s="5">
        <v>12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90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-18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7" t="s">
        <v>68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3" t="str">
        <f t="shared" si="7"/>
        <v>.Index-Sub-Sub-EntryIdx3</v>
      </c>
    </row>
    <row r="131" spans="1:99">
      <c r="A131" s="37" t="str">
        <f t="shared" si="9"/>
        <v>Publisher (Pub)</v>
      </c>
      <c r="C131" s="7" t="s">
        <v>498</v>
      </c>
      <c r="D131" s="7" t="s">
        <v>499</v>
      </c>
      <c r="E131" s="7" t="s">
        <v>426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1</v>
      </c>
      <c r="AJ131" s="7">
        <v>0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8" t="s">
        <v>660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3" t="str">
        <f t="shared" si="7"/>
        <v>.PublisherPub</v>
      </c>
    </row>
    <row r="132" spans="1:99">
      <c r="A132" s="37" t="str">
        <f t="shared" si="9"/>
        <v>Cities (Cit)</v>
      </c>
      <c r="C132" s="7" t="s">
        <v>500</v>
      </c>
      <c r="D132" s="7" t="s">
        <v>501</v>
      </c>
      <c r="E132" s="7" t="s">
        <v>426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0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1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8" t="s">
        <v>660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si="7"/>
        <v>.CitiesCit</v>
      </c>
    </row>
    <row r="133" spans="1:99">
      <c r="A133" s="37" t="str">
        <f t="shared" si="9"/>
        <v>Logo-Placement (Logo)</v>
      </c>
      <c r="C133" s="7" t="s">
        <v>381</v>
      </c>
      <c r="D133" s="7" t="s">
        <v>616</v>
      </c>
      <c r="E133" s="7" t="s">
        <v>426</v>
      </c>
      <c r="F133" s="5">
        <v>1</v>
      </c>
      <c r="G133" s="7" t="b">
        <v>0</v>
      </c>
      <c r="H133" s="5">
        <v>1</v>
      </c>
      <c r="I133" s="5" t="s">
        <v>1</v>
      </c>
      <c r="J133" s="5">
        <v>12</v>
      </c>
      <c r="K133" s="7" t="b">
        <v>0</v>
      </c>
      <c r="L133" s="5" t="b">
        <v>0</v>
      </c>
      <c r="M133" s="8" t="s">
        <v>70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0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0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1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1</v>
      </c>
      <c r="AO133" s="40" t="s">
        <v>70</v>
      </c>
      <c r="AP133" s="5">
        <v>1</v>
      </c>
      <c r="AQ133" s="5">
        <v>24</v>
      </c>
      <c r="AR133" s="5" t="b">
        <v>1</v>
      </c>
      <c r="AS133" s="40" t="s">
        <v>70</v>
      </c>
      <c r="AT133" s="5">
        <v>1</v>
      </c>
      <c r="AU133" s="7">
        <v>36</v>
      </c>
      <c r="AV133" s="5" t="b">
        <v>1</v>
      </c>
      <c r="AW133" s="40" t="s">
        <v>70</v>
      </c>
      <c r="AX133" s="5">
        <v>1</v>
      </c>
      <c r="AY133" s="5">
        <v>24</v>
      </c>
      <c r="AZ133" s="5" t="b">
        <v>1</v>
      </c>
      <c r="BA133" s="40" t="s">
        <v>70</v>
      </c>
      <c r="BB133" s="5">
        <v>1</v>
      </c>
      <c r="BC133" s="5">
        <v>24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7"/>
        <v>.Logo-PlacementLogo</v>
      </c>
    </row>
    <row r="134" spans="1:99">
      <c r="A134" s="37" t="str">
        <f t="shared" si="9"/>
        <v>Imprint (Imp)</v>
      </c>
      <c r="C134" s="7" t="s">
        <v>382</v>
      </c>
      <c r="D134" s="7" t="s">
        <v>617</v>
      </c>
      <c r="E134" s="7" t="s">
        <v>426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0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1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8" t="s">
        <v>660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7"/>
        <v>.ImprintImp</v>
      </c>
    </row>
    <row r="135" spans="1:99">
      <c r="A135" s="37" t="str">
        <f t="shared" si="9"/>
        <v>Image-Placement (Img)</v>
      </c>
      <c r="C135" s="7" t="s">
        <v>565</v>
      </c>
      <c r="D135" s="7" t="s">
        <v>564</v>
      </c>
      <c r="E135" s="7" t="s">
        <v>426</v>
      </c>
      <c r="F135" s="5">
        <v>1</v>
      </c>
      <c r="G135" s="7" t="b">
        <v>1</v>
      </c>
      <c r="H135" s="5">
        <v>1</v>
      </c>
      <c r="I135" s="5" t="s">
        <v>1</v>
      </c>
      <c r="J135" s="5">
        <v>12</v>
      </c>
      <c r="K135" s="7" t="b">
        <v>0</v>
      </c>
      <c r="L135" s="5" t="b">
        <v>0</v>
      </c>
      <c r="M135" s="8" t="s">
        <v>70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1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1</v>
      </c>
      <c r="AO135" s="40" t="s">
        <v>70</v>
      </c>
      <c r="AP135" s="5">
        <v>1</v>
      </c>
      <c r="AQ135" s="5">
        <v>24</v>
      </c>
      <c r="AR135" s="5" t="b">
        <v>1</v>
      </c>
      <c r="AS135" s="40" t="s">
        <v>70</v>
      </c>
      <c r="AT135" s="5">
        <v>1</v>
      </c>
      <c r="AU135" s="7">
        <v>36</v>
      </c>
      <c r="AV135" s="5" t="b">
        <v>1</v>
      </c>
      <c r="AW135" s="40" t="s">
        <v>70</v>
      </c>
      <c r="AX135" s="5">
        <v>1</v>
      </c>
      <c r="AY135" s="5">
        <v>24</v>
      </c>
      <c r="AZ135" s="5" t="b">
        <v>1</v>
      </c>
      <c r="BA135" s="40" t="s">
        <v>70</v>
      </c>
      <c r="BB135" s="5">
        <v>1</v>
      </c>
      <c r="BC135" s="5">
        <v>24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B135" s="7" t="b">
        <v>1</v>
      </c>
      <c r="CC135" s="7" t="b">
        <v>1</v>
      </c>
      <c r="CP135" s="7" t="b">
        <v>1</v>
      </c>
      <c r="CU135" s="63" t="str">
        <f t="shared" si="7"/>
        <v>.Image-PlacementImg</v>
      </c>
    </row>
    <row r="136" spans="1:99">
      <c r="A136" s="37" t="str">
        <f t="shared" si="9"/>
        <v>Credit-Line (Crd)</v>
      </c>
      <c r="C136" s="7" t="s">
        <v>383</v>
      </c>
      <c r="D136" s="7" t="s">
        <v>384</v>
      </c>
      <c r="E136" s="37" t="str">
        <f t="shared" ref="E136:E149" si="10">IF($D136="","",TRIM($C136)&amp;" "&amp;CHAR(40)&amp;TRIM($D136)&amp;CHAR(41))</f>
        <v>Credit-Line (Crd)</v>
      </c>
      <c r="F136" s="5">
        <v>1</v>
      </c>
      <c r="G136" s="7" t="b">
        <v>0</v>
      </c>
      <c r="H136" s="5">
        <v>1</v>
      </c>
      <c r="I136" s="5" t="s">
        <v>1</v>
      </c>
      <c r="J136" s="5">
        <v>10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36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9" t="s">
        <v>664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B136" s="7" t="b">
        <v>1</v>
      </c>
      <c r="CE136" s="7" t="b">
        <v>1</v>
      </c>
      <c r="CP136" s="7" t="b">
        <v>1</v>
      </c>
      <c r="CU136" s="63" t="str">
        <f t="shared" si="7"/>
        <v>.Credit-LineCrd</v>
      </c>
    </row>
    <row r="137" spans="1:99">
      <c r="A137" s="37" t="str">
        <f t="shared" si="9"/>
        <v>Caption (Cap)</v>
      </c>
      <c r="C137" s="7" t="s">
        <v>203</v>
      </c>
      <c r="D137" s="7" t="s">
        <v>385</v>
      </c>
      <c r="E137" s="37" t="str">
        <f t="shared" si="10"/>
        <v>Caption (Cap)</v>
      </c>
      <c r="F137" s="5">
        <v>1</v>
      </c>
      <c r="G137" s="7" t="b">
        <v>0</v>
      </c>
      <c r="H137" s="5">
        <v>1</v>
      </c>
      <c r="I137" s="5" t="s">
        <v>1</v>
      </c>
      <c r="J137" s="5">
        <v>10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36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9" t="s">
        <v>664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B137" s="7" t="b">
        <v>1</v>
      </c>
      <c r="CD137" s="7" t="b">
        <v>1</v>
      </c>
      <c r="CP137" s="7" t="b">
        <v>1</v>
      </c>
      <c r="CU137" s="63" t="str">
        <f t="shared" si="7"/>
        <v>.CaptionCap</v>
      </c>
    </row>
    <row r="138" spans="1:99">
      <c r="A138" s="37" t="str">
        <f t="shared" si="9"/>
        <v>Question (Ques)</v>
      </c>
      <c r="C138" s="7" t="s">
        <v>797</v>
      </c>
      <c r="D138" s="7" t="s">
        <v>798</v>
      </c>
      <c r="E138" s="37" t="str">
        <f t="shared" si="10"/>
        <v>Question (Ques)</v>
      </c>
      <c r="F138" s="5">
        <v>1</v>
      </c>
      <c r="G138" s="7" t="b">
        <v>0</v>
      </c>
      <c r="H138" s="5">
        <v>1</v>
      </c>
      <c r="I138" s="5" t="s">
        <v>66</v>
      </c>
      <c r="J138" s="5">
        <v>12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36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38" t="s">
        <v>739</v>
      </c>
      <c r="AT138" s="5">
        <v>1</v>
      </c>
      <c r="AU138" s="7">
        <v>36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ref="CU138:CU139" si="11">"."&amp;SUBSTITUTE(SUBSTITUTE(SUBSTITUTE(SUBSTITUTE(A138, "(",""),")","")," ",""),"#","")</f>
        <v>.QuestionQues</v>
      </c>
    </row>
    <row r="139" spans="1:99">
      <c r="A139" s="37" t="str">
        <f t="shared" si="9"/>
        <v>Answer (Ans)</v>
      </c>
      <c r="C139" s="7" t="s">
        <v>799</v>
      </c>
      <c r="D139" s="7" t="s">
        <v>800</v>
      </c>
      <c r="E139" s="37" t="str">
        <f t="shared" si="10"/>
        <v>Answer (Ans)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36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38" t="s">
        <v>739</v>
      </c>
      <c r="AT139" s="5">
        <v>7</v>
      </c>
      <c r="AU139" s="7">
        <v>18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11"/>
        <v>.AnswerAns</v>
      </c>
    </row>
    <row r="140" spans="1:99">
      <c r="A140" s="37" t="str">
        <f t="shared" si="9"/>
        <v>Speaker1 (Sp1)</v>
      </c>
      <c r="C140" s="7" t="s">
        <v>566</v>
      </c>
      <c r="D140" s="7" t="s">
        <v>567</v>
      </c>
      <c r="E140" s="37" t="str">
        <f t="shared" si="10"/>
        <v>Speaker1 (Sp1)</v>
      </c>
      <c r="F140" s="5">
        <v>1</v>
      </c>
      <c r="G140" s="7" t="b">
        <v>0</v>
      </c>
      <c r="H140" s="5">
        <v>1</v>
      </c>
      <c r="I140" s="5" t="s">
        <v>2</v>
      </c>
      <c r="J140" s="5">
        <v>11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36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38" t="s">
        <v>739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U140" s="63" t="str">
        <f t="shared" si="7"/>
        <v>.Speaker1Sp1</v>
      </c>
    </row>
    <row r="141" spans="1:99">
      <c r="A141" s="37" t="str">
        <f t="shared" si="9"/>
        <v>Speaker2 (Sp2)</v>
      </c>
      <c r="C141" s="7" t="s">
        <v>568</v>
      </c>
      <c r="D141" s="7" t="s">
        <v>569</v>
      </c>
      <c r="E141" s="37" t="str">
        <f t="shared" si="10"/>
        <v>Speaker2 (Sp2)</v>
      </c>
      <c r="F141" s="5">
        <v>1</v>
      </c>
      <c r="G141" s="7" t="b">
        <v>0</v>
      </c>
      <c r="H141" s="5">
        <v>1</v>
      </c>
      <c r="I141" s="5" t="s">
        <v>2</v>
      </c>
      <c r="J141" s="5">
        <v>11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36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38" t="s">
        <v>739</v>
      </c>
      <c r="AT141" s="5">
        <v>7</v>
      </c>
      <c r="AU141" s="7">
        <v>18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3" t="str">
        <f t="shared" ref="CU141:CU202" si="12">"."&amp;SUBSTITUTE(SUBSTITUTE(SUBSTITUTE(SUBSTITUTE(A141, "(",""),")","")," ",""),"#","")</f>
        <v>.Speaker2Sp2</v>
      </c>
    </row>
    <row r="142" spans="1:99">
      <c r="A142" s="37" t="str">
        <f t="shared" si="9"/>
        <v>Dialogue1 (Dia1)</v>
      </c>
      <c r="C142" s="7" t="s">
        <v>502</v>
      </c>
      <c r="D142" s="7" t="s">
        <v>504</v>
      </c>
      <c r="E142" s="37" t="str">
        <f t="shared" si="10"/>
        <v>Dialogue1 (Dia1)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36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38" t="s">
        <v>739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3" t="str">
        <f t="shared" si="12"/>
        <v>.Dialogue1Dia1</v>
      </c>
    </row>
    <row r="143" spans="1:99">
      <c r="A143" s="37" t="str">
        <f t="shared" si="9"/>
        <v>Dialogue2 (Dia2)</v>
      </c>
      <c r="C143" s="7" t="s">
        <v>503</v>
      </c>
      <c r="D143" s="7" t="s">
        <v>505</v>
      </c>
      <c r="E143" s="37" t="str">
        <f t="shared" si="10"/>
        <v>Dialogue2 (Dia2)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38" t="s">
        <v>739</v>
      </c>
      <c r="AT143" s="5">
        <v>7</v>
      </c>
      <c r="AU143" s="7">
        <v>18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3" t="str">
        <f t="shared" si="12"/>
        <v>.Dialogue2Dia2</v>
      </c>
    </row>
    <row r="144" spans="1:99">
      <c r="A144" s="37" t="str">
        <f t="shared" si="9"/>
        <v>Stage-Directions (Stdir)</v>
      </c>
      <c r="C144" s="7" t="s">
        <v>386</v>
      </c>
      <c r="D144" s="7" t="s">
        <v>618</v>
      </c>
      <c r="E144" s="37" t="str">
        <f t="shared" si="10"/>
        <v>Stage-Directions (Stdir)</v>
      </c>
      <c r="F144" s="5">
        <v>1</v>
      </c>
      <c r="G144" s="7" t="b">
        <v>0</v>
      </c>
      <c r="H144" s="5">
        <v>1</v>
      </c>
      <c r="I144" s="5" t="s">
        <v>1</v>
      </c>
      <c r="J144" s="5">
        <v>11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38" t="s">
        <v>739</v>
      </c>
      <c r="AT144" s="5">
        <v>1</v>
      </c>
      <c r="AU144" s="7">
        <v>36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3" t="str">
        <f t="shared" si="12"/>
        <v>.Stage-DirectionsStdir</v>
      </c>
    </row>
    <row r="145" spans="1:103">
      <c r="A145" s="37" t="str">
        <f t="shared" si="9"/>
        <v>TOC-Frontmatter (Tocfm)</v>
      </c>
      <c r="C145" s="7" t="s">
        <v>387</v>
      </c>
      <c r="D145" s="7" t="s">
        <v>619</v>
      </c>
      <c r="E145" s="37" t="str">
        <f t="shared" si="10"/>
        <v>TOC-Frontmatter (Tocfm)</v>
      </c>
      <c r="F145" s="5">
        <v>1</v>
      </c>
      <c r="G145" s="7" t="b">
        <v>0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48" t="s">
        <v>660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3" t="str">
        <f t="shared" si="12"/>
        <v>.TOC-FrontmatterTocfm</v>
      </c>
    </row>
    <row r="146" spans="1:103">
      <c r="A146" s="37" t="str">
        <f t="shared" si="9"/>
        <v>TOC-Part (Tocpt)</v>
      </c>
      <c r="C146" s="7" t="s">
        <v>388</v>
      </c>
      <c r="D146" s="7" t="s">
        <v>620</v>
      </c>
      <c r="E146" s="37" t="str">
        <f t="shared" si="10"/>
        <v>TOC-Part (Tocpt)</v>
      </c>
      <c r="F146" s="5">
        <v>1</v>
      </c>
      <c r="G146" s="7" t="b">
        <v>0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48" t="s">
        <v>660</v>
      </c>
      <c r="AT146" s="5">
        <v>1</v>
      </c>
      <c r="AU146" s="7">
        <v>36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3" t="str">
        <f t="shared" si="12"/>
        <v>.TOC-PartTocpt</v>
      </c>
    </row>
    <row r="147" spans="1:103">
      <c r="A147" s="37" t="str">
        <f t="shared" si="9"/>
        <v>TOC-Chapter (Tocch)</v>
      </c>
      <c r="C147" s="7" t="s">
        <v>389</v>
      </c>
      <c r="D147" s="7" t="s">
        <v>621</v>
      </c>
      <c r="E147" s="37" t="str">
        <f t="shared" si="10"/>
        <v>TOC-Chapter (Tocch)</v>
      </c>
      <c r="F147" s="5">
        <v>1</v>
      </c>
      <c r="G147" s="7" t="b">
        <v>0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48" t="s">
        <v>660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3" t="str">
        <f t="shared" si="12"/>
        <v>.TOC-ChapterTocch</v>
      </c>
    </row>
    <row r="148" spans="1:103">
      <c r="A148" s="37" t="str">
        <f t="shared" si="9"/>
        <v>TOC-Subhead (Tocsub)</v>
      </c>
      <c r="C148" s="7" t="s">
        <v>390</v>
      </c>
      <c r="D148" s="7" t="s">
        <v>627</v>
      </c>
      <c r="E148" s="37" t="str">
        <f t="shared" si="10"/>
        <v>TOC-Subhead (Tocsub)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8" t="s">
        <v>660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3" t="str">
        <f t="shared" si="12"/>
        <v>.TOC-SubheadTocsub</v>
      </c>
    </row>
    <row r="149" spans="1:103">
      <c r="A149" s="37" t="str">
        <f t="shared" si="9"/>
        <v>TOC-Backmatter (Tocbm)</v>
      </c>
      <c r="C149" s="7" t="s">
        <v>391</v>
      </c>
      <c r="D149" s="7" t="s">
        <v>622</v>
      </c>
      <c r="E149" s="37" t="str">
        <f t="shared" si="10"/>
        <v>TOC-Backmatter (Tocbm)</v>
      </c>
      <c r="F149" s="5">
        <v>1</v>
      </c>
      <c r="G149" s="7" t="b">
        <v>0</v>
      </c>
      <c r="H149" s="5">
        <v>1</v>
      </c>
      <c r="I149" s="5" t="s">
        <v>66</v>
      </c>
      <c r="J149" s="5">
        <v>12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8" t="s">
        <v>660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3" t="str">
        <f t="shared" si="12"/>
        <v>.TOC-BackmatterTocbm</v>
      </c>
    </row>
    <row r="150" spans="1:103">
      <c r="A150" s="37" t="str">
        <f t="shared" si="9"/>
        <v>Blank-Space-Break (Bsbrk)</v>
      </c>
      <c r="C150" s="7" t="s">
        <v>506</v>
      </c>
      <c r="D150" s="7" t="s">
        <v>507</v>
      </c>
      <c r="E150" s="7" t="s">
        <v>426</v>
      </c>
      <c r="F150" s="5">
        <v>1</v>
      </c>
      <c r="G150" s="7" t="b">
        <v>1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8" t="s">
        <v>70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1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1</v>
      </c>
      <c r="AO150" s="40" t="s">
        <v>70</v>
      </c>
      <c r="AP150" s="5">
        <v>1</v>
      </c>
      <c r="AQ150" s="5">
        <v>24</v>
      </c>
      <c r="AR150" s="5" t="b">
        <v>1</v>
      </c>
      <c r="AS150" s="40" t="s">
        <v>70</v>
      </c>
      <c r="AT150" s="5">
        <v>3</v>
      </c>
      <c r="AU150" s="7">
        <v>18</v>
      </c>
      <c r="AV150" s="5" t="b">
        <v>1</v>
      </c>
      <c r="AW150" s="40" t="s">
        <v>70</v>
      </c>
      <c r="AX150" s="5">
        <v>1</v>
      </c>
      <c r="AY150" s="5">
        <v>24</v>
      </c>
      <c r="AZ150" s="5" t="b">
        <v>1</v>
      </c>
      <c r="BA150" s="40" t="s">
        <v>70</v>
      </c>
      <c r="BB150" s="5">
        <v>3</v>
      </c>
      <c r="BC150" s="7">
        <v>18</v>
      </c>
      <c r="BD150" s="5">
        <v>4</v>
      </c>
      <c r="BE150" s="5">
        <v>4</v>
      </c>
      <c r="BF150" s="5">
        <v>1</v>
      </c>
      <c r="BG150" s="5">
        <v>1</v>
      </c>
      <c r="BH150" s="39" t="s">
        <v>663</v>
      </c>
      <c r="BL150" s="36"/>
      <c r="BM150" s="5" t="s">
        <v>0</v>
      </c>
      <c r="BN150" s="5">
        <v>0</v>
      </c>
      <c r="BO150" s="5" t="b">
        <v>0</v>
      </c>
      <c r="CU150" s="63" t="str">
        <f t="shared" si="12"/>
        <v>.Blank-Space-BreakBsbrk</v>
      </c>
      <c r="CX150" s="7" t="s">
        <v>781</v>
      </c>
    </row>
    <row r="151" spans="1:103">
      <c r="A151" s="37" t="str">
        <f t="shared" si="9"/>
        <v>Blank-Space-Break2 (Bsbrk2)</v>
      </c>
      <c r="C151" s="7" t="s">
        <v>754</v>
      </c>
      <c r="D151" s="7" t="s">
        <v>755</v>
      </c>
      <c r="E151" s="7" t="s">
        <v>426</v>
      </c>
      <c r="F151" s="5">
        <v>1</v>
      </c>
      <c r="G151" s="7" t="b">
        <v>1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8" t="s">
        <v>70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1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1</v>
      </c>
      <c r="AO151" s="40" t="s">
        <v>70</v>
      </c>
      <c r="AP151" s="5">
        <v>1</v>
      </c>
      <c r="AQ151" s="5">
        <v>24</v>
      </c>
      <c r="AR151" s="5" t="b">
        <v>1</v>
      </c>
      <c r="AS151" s="40" t="s">
        <v>70</v>
      </c>
      <c r="AT151" s="5">
        <v>7</v>
      </c>
      <c r="AU151" s="7">
        <v>18</v>
      </c>
      <c r="AV151" s="5" t="b">
        <v>1</v>
      </c>
      <c r="AW151" s="40" t="s">
        <v>70</v>
      </c>
      <c r="AX151" s="5">
        <v>1</v>
      </c>
      <c r="AY151" s="5">
        <v>24</v>
      </c>
      <c r="AZ151" s="5" t="b">
        <v>1</v>
      </c>
      <c r="BA151" s="40" t="s">
        <v>70</v>
      </c>
      <c r="BB151" s="5">
        <v>3</v>
      </c>
      <c r="BC151" s="7">
        <v>18</v>
      </c>
      <c r="BD151" s="5">
        <v>4</v>
      </c>
      <c r="BE151" s="5">
        <v>4</v>
      </c>
      <c r="BF151" s="5">
        <v>1</v>
      </c>
      <c r="BG151" s="5">
        <v>1</v>
      </c>
      <c r="BH151" s="39" t="s">
        <v>663</v>
      </c>
      <c r="BL151" s="36"/>
      <c r="BM151" s="5" t="s">
        <v>0</v>
      </c>
      <c r="BN151" s="5">
        <v>0</v>
      </c>
      <c r="BO151" s="5" t="b">
        <v>0</v>
      </c>
      <c r="CU151" s="63" t="str">
        <f t="shared" si="12"/>
        <v>.Blank-Space-Break2Bsbrk2</v>
      </c>
      <c r="CX151" s="7" t="s">
        <v>781</v>
      </c>
    </row>
    <row r="152" spans="1:103">
      <c r="A152" s="37" t="str">
        <f t="shared" si="9"/>
        <v>Ornamental-Space-Break (Osbrk)</v>
      </c>
      <c r="C152" s="7" t="s">
        <v>508</v>
      </c>
      <c r="D152" s="7" t="s">
        <v>509</v>
      </c>
      <c r="E152" s="7" t="s">
        <v>426</v>
      </c>
      <c r="F152" s="5">
        <v>1</v>
      </c>
      <c r="G152" s="7" t="b">
        <v>1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8" t="s">
        <v>70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0" t="s">
        <v>70</v>
      </c>
      <c r="AP152" s="5">
        <v>1</v>
      </c>
      <c r="AQ152" s="5">
        <v>24</v>
      </c>
      <c r="AR152" s="5" t="b">
        <v>1</v>
      </c>
      <c r="AS152" s="50" t="s">
        <v>70</v>
      </c>
      <c r="AT152" s="5">
        <v>3</v>
      </c>
      <c r="AU152" s="7">
        <v>18</v>
      </c>
      <c r="AV152" s="5" t="b">
        <v>1</v>
      </c>
      <c r="AW152" s="50" t="s">
        <v>70</v>
      </c>
      <c r="AX152" s="5">
        <v>1</v>
      </c>
      <c r="AY152" s="5">
        <v>24</v>
      </c>
      <c r="AZ152" s="5" t="b">
        <v>1</v>
      </c>
      <c r="BA152" s="50" t="s">
        <v>70</v>
      </c>
      <c r="BB152" s="5">
        <v>3</v>
      </c>
      <c r="BC152" s="7">
        <v>18</v>
      </c>
      <c r="BD152" s="5">
        <v>4</v>
      </c>
      <c r="BE152" s="5">
        <v>4</v>
      </c>
      <c r="BF152" s="5">
        <v>1</v>
      </c>
      <c r="BG152" s="5">
        <v>1</v>
      </c>
      <c r="BH152" s="39" t="s">
        <v>663</v>
      </c>
      <c r="BL152" s="36"/>
      <c r="BM152" s="5" t="s">
        <v>0</v>
      </c>
      <c r="BN152" s="5">
        <v>0</v>
      </c>
      <c r="BO152" s="5" t="b">
        <v>0</v>
      </c>
      <c r="CU152" s="63" t="str">
        <f t="shared" si="12"/>
        <v>.Ornamental-Space-BreakOsbrk</v>
      </c>
      <c r="CX152" s="7" t="s">
        <v>782</v>
      </c>
    </row>
    <row r="153" spans="1:103">
      <c r="A153" s="37" t="str">
        <f t="shared" si="9"/>
        <v>Ornamental-Space-Break2 (Osbrk2)</v>
      </c>
      <c r="C153" s="7" t="s">
        <v>756</v>
      </c>
      <c r="D153" s="7" t="s">
        <v>757</v>
      </c>
      <c r="E153" s="7" t="s">
        <v>426</v>
      </c>
      <c r="F153" s="5">
        <v>1</v>
      </c>
      <c r="G153" s="7" t="b">
        <v>1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8" t="s">
        <v>70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0" t="s">
        <v>70</v>
      </c>
      <c r="AP153" s="5">
        <v>1</v>
      </c>
      <c r="AQ153" s="5">
        <v>24</v>
      </c>
      <c r="AR153" s="5" t="b">
        <v>1</v>
      </c>
      <c r="AS153" s="50" t="s">
        <v>70</v>
      </c>
      <c r="AT153" s="5">
        <v>7</v>
      </c>
      <c r="AU153" s="7">
        <v>18</v>
      </c>
      <c r="AV153" s="5" t="b">
        <v>1</v>
      </c>
      <c r="AW153" s="50" t="s">
        <v>70</v>
      </c>
      <c r="AX153" s="5">
        <v>1</v>
      </c>
      <c r="AY153" s="5">
        <v>24</v>
      </c>
      <c r="AZ153" s="5" t="b">
        <v>1</v>
      </c>
      <c r="BA153" s="50" t="s">
        <v>70</v>
      </c>
      <c r="BB153" s="5">
        <v>3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39" t="s">
        <v>663</v>
      </c>
      <c r="BL153" s="36"/>
      <c r="BM153" s="5" t="s">
        <v>0</v>
      </c>
      <c r="BN153" s="5">
        <v>0</v>
      </c>
      <c r="BO153" s="5" t="b">
        <v>0</v>
      </c>
      <c r="CU153" s="63" t="str">
        <f t="shared" si="12"/>
        <v>.Ornamental-Space-Break2Osbrk2</v>
      </c>
      <c r="CX153" s="7" t="s">
        <v>786</v>
      </c>
    </row>
    <row r="154" spans="1:103">
      <c r="A154" s="37" t="str">
        <f t="shared" si="9"/>
        <v>Separator (Sep)</v>
      </c>
      <c r="C154" s="7" t="s">
        <v>510</v>
      </c>
      <c r="D154" s="7" t="s">
        <v>511</v>
      </c>
      <c r="E154" s="7" t="s">
        <v>426</v>
      </c>
      <c r="F154" s="5">
        <v>1</v>
      </c>
      <c r="G154" s="7" t="b">
        <v>1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8" t="s">
        <v>70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0" t="s">
        <v>70</v>
      </c>
      <c r="AP154" s="5">
        <v>1</v>
      </c>
      <c r="AQ154" s="5">
        <v>24</v>
      </c>
      <c r="AR154" s="5" t="b">
        <v>1</v>
      </c>
      <c r="AS154" s="50" t="s">
        <v>70</v>
      </c>
      <c r="AT154" s="5">
        <v>3</v>
      </c>
      <c r="AU154" s="7">
        <v>18</v>
      </c>
      <c r="AV154" s="5" t="b">
        <v>1</v>
      </c>
      <c r="AW154" s="50" t="s">
        <v>70</v>
      </c>
      <c r="AX154" s="5">
        <v>1</v>
      </c>
      <c r="AY154" s="5">
        <v>24</v>
      </c>
      <c r="AZ154" s="5" t="b">
        <v>1</v>
      </c>
      <c r="BA154" s="50" t="s">
        <v>70</v>
      </c>
      <c r="BB154" s="5">
        <v>3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39" t="s">
        <v>663</v>
      </c>
      <c r="BL154" s="36"/>
      <c r="BM154" s="5" t="s">
        <v>0</v>
      </c>
      <c r="BN154" s="5">
        <v>0</v>
      </c>
      <c r="BO154" s="5" t="b">
        <v>0</v>
      </c>
      <c r="CP154" s="7" t="b">
        <v>1</v>
      </c>
      <c r="CU154" s="63" t="str">
        <f t="shared" si="12"/>
        <v>.SeparatorSep</v>
      </c>
      <c r="CX154" s="7" t="s">
        <v>783</v>
      </c>
    </row>
    <row r="155" spans="1:103">
      <c r="A155" s="37" t="str">
        <f t="shared" si="9"/>
        <v>Design-Note (Dn)</v>
      </c>
      <c r="C155" s="7" t="s">
        <v>392</v>
      </c>
      <c r="D155" s="7" t="s">
        <v>393</v>
      </c>
      <c r="E155" s="37" t="str">
        <f t="shared" ref="E155:E157" si="13">IF($D155="","",TRIM($C155)&amp;" "&amp;CHAR(40)&amp;TRIM($D155)&amp;CHAR(41))</f>
        <v>Design-Note (Dn)</v>
      </c>
      <c r="F155" s="5">
        <v>1</v>
      </c>
      <c r="G155" s="7" t="b">
        <v>1</v>
      </c>
      <c r="H155" s="5">
        <v>1</v>
      </c>
      <c r="I155" s="5" t="s">
        <v>71</v>
      </c>
      <c r="J155" s="5">
        <v>11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0</v>
      </c>
      <c r="AJ155" s="7">
        <v>36</v>
      </c>
      <c r="AK155" s="7">
        <v>10</v>
      </c>
      <c r="AL155" s="7" t="b">
        <v>0</v>
      </c>
      <c r="AM155" s="5" t="b">
        <v>0</v>
      </c>
      <c r="AN155" s="5" t="b">
        <v>1</v>
      </c>
      <c r="AO155" s="40" t="s">
        <v>70</v>
      </c>
      <c r="AP155" s="5">
        <v>1</v>
      </c>
      <c r="AQ155" s="5">
        <v>24</v>
      </c>
      <c r="AR155" s="5" t="b">
        <v>1</v>
      </c>
      <c r="AS155" s="50" t="s">
        <v>70</v>
      </c>
      <c r="AT155" s="5">
        <v>1</v>
      </c>
      <c r="AU155" s="7">
        <v>24</v>
      </c>
      <c r="AV155" s="5" t="b">
        <v>1</v>
      </c>
      <c r="AW155" s="50" t="s">
        <v>70</v>
      </c>
      <c r="AX155" s="5">
        <v>1</v>
      </c>
      <c r="AY155" s="5">
        <v>24</v>
      </c>
      <c r="AZ155" s="5" t="b">
        <v>1</v>
      </c>
      <c r="BA155" s="50" t="s">
        <v>70</v>
      </c>
      <c r="BB155" s="5">
        <v>1</v>
      </c>
      <c r="BC155" s="5">
        <v>24</v>
      </c>
      <c r="BD155" s="5">
        <v>4</v>
      </c>
      <c r="BE155" s="5">
        <v>4</v>
      </c>
      <c r="BF155" s="5">
        <v>1</v>
      </c>
      <c r="BG155" s="5">
        <v>1</v>
      </c>
      <c r="BH155" s="9" t="s">
        <v>65</v>
      </c>
      <c r="BL155" s="36"/>
      <c r="BM155" s="5" t="s">
        <v>0</v>
      </c>
      <c r="BN155" s="5">
        <v>0</v>
      </c>
      <c r="BO155" s="5" t="b">
        <v>0</v>
      </c>
      <c r="CP155" s="7" t="b">
        <v>1</v>
      </c>
      <c r="CU155" s="63" t="str">
        <f t="shared" si="12"/>
        <v>.Design-NoteDn</v>
      </c>
    </row>
    <row r="156" spans="1:103">
      <c r="A156" s="37" t="str">
        <f t="shared" si="9"/>
        <v>Bookmaker-Processing-Instruction (Bpi)</v>
      </c>
      <c r="C156" s="7" t="s">
        <v>394</v>
      </c>
      <c r="D156" s="7" t="s">
        <v>395</v>
      </c>
      <c r="E156" s="37" t="str">
        <f t="shared" si="13"/>
        <v>Bookmaker-Processing-Instruction (Bpi)</v>
      </c>
      <c r="F156" s="5">
        <v>1</v>
      </c>
      <c r="G156" s="7" t="b">
        <v>0</v>
      </c>
      <c r="H156" s="5">
        <v>1</v>
      </c>
      <c r="I156" s="5" t="s">
        <v>71</v>
      </c>
      <c r="J156" s="5">
        <v>11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0</v>
      </c>
      <c r="AJ156" s="7">
        <v>36</v>
      </c>
      <c r="AK156" s="7">
        <v>10</v>
      </c>
      <c r="AL156" s="7" t="b">
        <v>0</v>
      </c>
      <c r="AM156" s="5" t="b">
        <v>0</v>
      </c>
      <c r="AN156" s="5" t="b">
        <v>1</v>
      </c>
      <c r="AO156" s="40" t="s">
        <v>70</v>
      </c>
      <c r="AP156" s="5">
        <v>1</v>
      </c>
      <c r="AQ156" s="5">
        <v>24</v>
      </c>
      <c r="AR156" s="5" t="b">
        <v>1</v>
      </c>
      <c r="AS156" s="50" t="s">
        <v>70</v>
      </c>
      <c r="AT156" s="5">
        <v>1</v>
      </c>
      <c r="AU156" s="7">
        <v>24</v>
      </c>
      <c r="AV156" s="5" t="b">
        <v>1</v>
      </c>
      <c r="AW156" s="50" t="s">
        <v>70</v>
      </c>
      <c r="AX156" s="5">
        <v>1</v>
      </c>
      <c r="AY156" s="5">
        <v>24</v>
      </c>
      <c r="AZ156" s="5" t="b">
        <v>1</v>
      </c>
      <c r="BA156" s="50" t="s">
        <v>70</v>
      </c>
      <c r="BB156" s="5">
        <v>1</v>
      </c>
      <c r="BC156" s="5">
        <v>24</v>
      </c>
      <c r="BD156" s="5">
        <v>4</v>
      </c>
      <c r="BE156" s="5">
        <v>4</v>
      </c>
      <c r="BF156" s="5">
        <v>1</v>
      </c>
      <c r="BG156" s="5">
        <v>1</v>
      </c>
      <c r="BH156" s="9" t="s">
        <v>65</v>
      </c>
      <c r="BL156" s="36"/>
      <c r="BM156" s="5" t="s">
        <v>0</v>
      </c>
      <c r="BN156" s="5">
        <v>0</v>
      </c>
      <c r="BO156" s="5" t="b">
        <v>0</v>
      </c>
      <c r="CP156" s="7" t="b">
        <v>1</v>
      </c>
      <c r="CU156" s="63" t="str">
        <f t="shared" si="12"/>
        <v>.Bookmaker-Processing-InstructionBpi</v>
      </c>
    </row>
    <row r="157" spans="1:103">
      <c r="A157" s="37" t="str">
        <f t="shared" si="9"/>
        <v>Ebook-Only-Text (Eonly)</v>
      </c>
      <c r="C157" s="7" t="s">
        <v>512</v>
      </c>
      <c r="D157" s="7" t="s">
        <v>513</v>
      </c>
      <c r="E157" s="37" t="str">
        <f t="shared" si="13"/>
        <v>Ebook-Only-Text (Eonly)</v>
      </c>
      <c r="F157" s="5">
        <v>1</v>
      </c>
      <c r="G157" s="7" t="b">
        <v>0</v>
      </c>
      <c r="H157" s="5">
        <v>1</v>
      </c>
      <c r="I157" s="5" t="s">
        <v>1</v>
      </c>
      <c r="J157" s="5">
        <v>11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0</v>
      </c>
      <c r="AJ157" s="7">
        <v>36</v>
      </c>
      <c r="AK157" s="7">
        <v>10</v>
      </c>
      <c r="AL157" s="7" t="b">
        <v>0</v>
      </c>
      <c r="AM157" s="5" t="b">
        <v>0</v>
      </c>
      <c r="AN157" s="5" t="b">
        <v>0</v>
      </c>
      <c r="AO157" s="6" t="s">
        <v>65</v>
      </c>
      <c r="AP157" s="5">
        <v>0</v>
      </c>
      <c r="AQ157" s="5">
        <v>6</v>
      </c>
      <c r="AR157" s="5" t="b">
        <v>1</v>
      </c>
      <c r="AS157" s="51" t="s">
        <v>661</v>
      </c>
      <c r="AT157" s="5">
        <v>1</v>
      </c>
      <c r="AU157" s="7">
        <v>36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0</v>
      </c>
      <c r="BA157" s="6" t="s">
        <v>65</v>
      </c>
      <c r="BB157" s="5">
        <v>0</v>
      </c>
      <c r="BC157" s="5">
        <v>6</v>
      </c>
      <c r="BD157" s="5">
        <v>4</v>
      </c>
      <c r="BE157" s="5">
        <v>4</v>
      </c>
      <c r="BF157" s="5">
        <v>1</v>
      </c>
      <c r="BG157" s="5">
        <v>1</v>
      </c>
      <c r="BH157" s="9" t="s">
        <v>65</v>
      </c>
      <c r="BL157" s="36"/>
      <c r="BM157" s="5" t="s">
        <v>0</v>
      </c>
      <c r="BN157" s="5">
        <v>0</v>
      </c>
      <c r="BO157" s="5" t="b">
        <v>0</v>
      </c>
      <c r="CP157" s="7" t="b">
        <v>1</v>
      </c>
      <c r="CU157" s="63" t="str">
        <f t="shared" si="12"/>
        <v>.Ebook-Only-TextEonly</v>
      </c>
    </row>
    <row r="158" spans="1:103">
      <c r="A158" s="37" t="str">
        <f t="shared" si="9"/>
        <v>EXTRACT-A (EXT-A)</v>
      </c>
      <c r="C158" s="7" t="s">
        <v>396</v>
      </c>
      <c r="D158" s="7" t="s">
        <v>397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673</v>
      </c>
      <c r="AP158" s="5">
        <v>1</v>
      </c>
      <c r="AQ158" s="5">
        <v>12</v>
      </c>
      <c r="AR158" s="5" t="b">
        <v>1</v>
      </c>
      <c r="AS158" s="46" t="s">
        <v>673</v>
      </c>
      <c r="AT158" s="5">
        <v>1</v>
      </c>
      <c r="AU158" s="7">
        <v>36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673</v>
      </c>
      <c r="BB158" s="5">
        <v>1</v>
      </c>
      <c r="BC158" s="7">
        <v>36</v>
      </c>
      <c r="BD158" s="5">
        <v>4</v>
      </c>
      <c r="BE158" s="5">
        <v>4</v>
      </c>
      <c r="BF158" s="5">
        <v>1</v>
      </c>
      <c r="BG158" s="5">
        <v>1</v>
      </c>
      <c r="BH158" s="53" t="s">
        <v>740</v>
      </c>
      <c r="BL158" s="36"/>
      <c r="BM158" s="5" t="s">
        <v>0</v>
      </c>
      <c r="BN158" s="7">
        <v>0</v>
      </c>
      <c r="BO158" s="5" t="b">
        <v>0</v>
      </c>
      <c r="BZ158" s="7" t="s">
        <v>709</v>
      </c>
      <c r="CU158" s="63" t="str">
        <f t="shared" si="12"/>
        <v>.EXTRACT-AEXT-A</v>
      </c>
      <c r="CY158" s="7" t="s">
        <v>396</v>
      </c>
    </row>
    <row r="159" spans="1:103">
      <c r="A159" s="37" t="str">
        <f t="shared" si="9"/>
        <v>EXTRACT-B (EXT-B)</v>
      </c>
      <c r="C159" s="7" t="s">
        <v>516</v>
      </c>
      <c r="D159" s="7" t="s">
        <v>519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673</v>
      </c>
      <c r="AP159" s="5">
        <v>1</v>
      </c>
      <c r="AQ159" s="5">
        <v>12</v>
      </c>
      <c r="AR159" s="5" t="b">
        <v>1</v>
      </c>
      <c r="AS159" s="46" t="s">
        <v>673</v>
      </c>
      <c r="AT159" s="5">
        <v>7</v>
      </c>
      <c r="AU159" s="7">
        <v>18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673</v>
      </c>
      <c r="BB159" s="5">
        <v>7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53" t="s">
        <v>740</v>
      </c>
      <c r="BL159" s="36"/>
      <c r="BM159" s="5" t="s">
        <v>0</v>
      </c>
      <c r="BN159" s="7">
        <v>0</v>
      </c>
      <c r="BO159" s="5" t="b">
        <v>0</v>
      </c>
      <c r="BZ159" s="7" t="s">
        <v>709</v>
      </c>
      <c r="CU159" s="63" t="str">
        <f t="shared" si="12"/>
        <v>.EXTRACT-BEXT-B</v>
      </c>
      <c r="CY159" s="7" t="s">
        <v>516</v>
      </c>
    </row>
    <row r="160" spans="1:103">
      <c r="A160" s="37" t="str">
        <f t="shared" si="9"/>
        <v>EXTRACT-C (EXT-C)</v>
      </c>
      <c r="C160" s="7" t="s">
        <v>515</v>
      </c>
      <c r="D160" s="7" t="s">
        <v>518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673</v>
      </c>
      <c r="AP160" s="5">
        <v>1</v>
      </c>
      <c r="AQ160" s="5">
        <v>12</v>
      </c>
      <c r="AR160" s="5" t="b">
        <v>1</v>
      </c>
      <c r="AS160" s="46" t="s">
        <v>673</v>
      </c>
      <c r="AT160" s="5">
        <v>8</v>
      </c>
      <c r="AU160" s="7">
        <v>18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673</v>
      </c>
      <c r="BB160" s="5">
        <v>8</v>
      </c>
      <c r="BC160" s="7">
        <v>18</v>
      </c>
      <c r="BD160" s="5">
        <v>4</v>
      </c>
      <c r="BE160" s="5">
        <v>4</v>
      </c>
      <c r="BF160" s="5">
        <v>1</v>
      </c>
      <c r="BG160" s="5">
        <v>1</v>
      </c>
      <c r="BH160" s="53" t="s">
        <v>740</v>
      </c>
      <c r="BL160" s="36"/>
      <c r="BM160" s="5" t="s">
        <v>0</v>
      </c>
      <c r="BN160" s="7">
        <v>0</v>
      </c>
      <c r="BO160" s="5" t="b">
        <v>0</v>
      </c>
      <c r="BZ160" s="7" t="s">
        <v>709</v>
      </c>
      <c r="CU160" s="63" t="str">
        <f t="shared" si="12"/>
        <v>.EXTRACT-CEXT-C</v>
      </c>
      <c r="CY160" s="7" t="s">
        <v>515</v>
      </c>
    </row>
    <row r="161" spans="1:103">
      <c r="A161" s="37" t="str">
        <f t="shared" si="9"/>
        <v>EXTRACT-D (EXT-D)</v>
      </c>
      <c r="C161" s="7" t="s">
        <v>514</v>
      </c>
      <c r="D161" s="7" t="s">
        <v>517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673</v>
      </c>
      <c r="AP161" s="5">
        <v>1</v>
      </c>
      <c r="AQ161" s="5">
        <v>12</v>
      </c>
      <c r="AR161" s="5" t="b">
        <v>1</v>
      </c>
      <c r="AS161" s="46" t="s">
        <v>673</v>
      </c>
      <c r="AT161" s="5">
        <v>12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673</v>
      </c>
      <c r="BB161" s="5">
        <v>12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5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709</v>
      </c>
      <c r="CU161" s="63" t="str">
        <f t="shared" si="12"/>
        <v>.EXTRACT-DEXT-D</v>
      </c>
      <c r="CY161" s="7" t="s">
        <v>514</v>
      </c>
    </row>
    <row r="162" spans="1:103">
      <c r="A162" s="37" t="str">
        <f t="shared" si="9"/>
        <v>BOX-A (BOX-A)</v>
      </c>
      <c r="C162" s="7" t="s">
        <v>520</v>
      </c>
      <c r="D162" s="7" t="s">
        <v>520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673</v>
      </c>
      <c r="AP162" s="5">
        <v>1</v>
      </c>
      <c r="AQ162" s="5">
        <v>12</v>
      </c>
      <c r="AR162" s="5" t="b">
        <v>1</v>
      </c>
      <c r="AS162" s="46" t="s">
        <v>673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673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711</v>
      </c>
      <c r="CU162" s="63" t="str">
        <f t="shared" si="12"/>
        <v>.BOX-ABOX-A</v>
      </c>
      <c r="CY162" s="7" t="s">
        <v>520</v>
      </c>
    </row>
    <row r="163" spans="1:103">
      <c r="A163" s="37" t="str">
        <f t="shared" si="9"/>
        <v>BOX-B (BOX-B)</v>
      </c>
      <c r="C163" s="7" t="s">
        <v>521</v>
      </c>
      <c r="D163" s="7" t="s">
        <v>521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673</v>
      </c>
      <c r="AP163" s="5">
        <v>1</v>
      </c>
      <c r="AQ163" s="5">
        <v>12</v>
      </c>
      <c r="AR163" s="5" t="b">
        <v>1</v>
      </c>
      <c r="AS163" s="46" t="s">
        <v>673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673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711</v>
      </c>
      <c r="CU163" s="63" t="str">
        <f t="shared" si="12"/>
        <v>.BOX-BBOX-B</v>
      </c>
      <c r="CY163" s="7" t="s">
        <v>521</v>
      </c>
    </row>
    <row r="164" spans="1:103">
      <c r="A164" s="37" t="str">
        <f t="shared" si="9"/>
        <v>LETTER-A (LTR-A)</v>
      </c>
      <c r="C164" s="7" t="s">
        <v>522</v>
      </c>
      <c r="D164" s="7" t="s">
        <v>523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673</v>
      </c>
      <c r="AP164" s="5">
        <v>1</v>
      </c>
      <c r="AQ164" s="5">
        <v>12</v>
      </c>
      <c r="AR164" s="5" t="b">
        <v>1</v>
      </c>
      <c r="AS164" s="46" t="s">
        <v>673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673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712</v>
      </c>
      <c r="CU164" s="63" t="str">
        <f t="shared" si="12"/>
        <v>.LETTER-ALTR-A</v>
      </c>
      <c r="CY164" s="7" t="s">
        <v>522</v>
      </c>
    </row>
    <row r="165" spans="1:103">
      <c r="A165" s="37" t="str">
        <f t="shared" si="9"/>
        <v>LETTER-B (LTR-B)</v>
      </c>
      <c r="C165" s="7" t="s">
        <v>524</v>
      </c>
      <c r="D165" s="7" t="s">
        <v>525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673</v>
      </c>
      <c r="AP165" s="5">
        <v>1</v>
      </c>
      <c r="AQ165" s="5">
        <v>12</v>
      </c>
      <c r="AR165" s="5" t="b">
        <v>1</v>
      </c>
      <c r="AS165" s="46" t="s">
        <v>673</v>
      </c>
      <c r="AT165" s="5">
        <v>7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673</v>
      </c>
      <c r="BB165" s="5">
        <v>7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5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712</v>
      </c>
      <c r="CU165" s="63" t="str">
        <f t="shared" si="12"/>
        <v>.LETTER-BLTR-B</v>
      </c>
      <c r="CY165" s="7" t="s">
        <v>524</v>
      </c>
    </row>
    <row r="166" spans="1:103">
      <c r="A166" s="37" t="str">
        <f t="shared" si="9"/>
        <v>LETTER-C (LTR-C)</v>
      </c>
      <c r="C166" s="7" t="s">
        <v>526</v>
      </c>
      <c r="D166" s="7" t="s">
        <v>527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673</v>
      </c>
      <c r="AP166" s="5">
        <v>1</v>
      </c>
      <c r="AQ166" s="5">
        <v>12</v>
      </c>
      <c r="AR166" s="5" t="b">
        <v>1</v>
      </c>
      <c r="AS166" s="46" t="s">
        <v>673</v>
      </c>
      <c r="AT166" s="5">
        <v>8</v>
      </c>
      <c r="AU166" s="7">
        <v>18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673</v>
      </c>
      <c r="BB166" s="5">
        <v>8</v>
      </c>
      <c r="BC166" s="7">
        <v>18</v>
      </c>
      <c r="BD166" s="5">
        <v>4</v>
      </c>
      <c r="BE166" s="5">
        <v>4</v>
      </c>
      <c r="BF166" s="5">
        <v>1</v>
      </c>
      <c r="BG166" s="5">
        <v>1</v>
      </c>
      <c r="BH166" s="5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712</v>
      </c>
      <c r="CU166" s="63" t="str">
        <f t="shared" si="12"/>
        <v>.LETTER-CLTR-C</v>
      </c>
      <c r="CY166" s="7" t="s">
        <v>526</v>
      </c>
    </row>
    <row r="167" spans="1:103">
      <c r="A167" s="37" t="str">
        <f t="shared" si="9"/>
        <v>LETTER-D (LTR-D)</v>
      </c>
      <c r="C167" s="7" t="s">
        <v>528</v>
      </c>
      <c r="D167" s="7" t="s">
        <v>529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673</v>
      </c>
      <c r="AP167" s="5">
        <v>1</v>
      </c>
      <c r="AQ167" s="5">
        <v>12</v>
      </c>
      <c r="AR167" s="5" t="b">
        <v>1</v>
      </c>
      <c r="AS167" s="46" t="s">
        <v>673</v>
      </c>
      <c r="AT167" s="5">
        <v>12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673</v>
      </c>
      <c r="BB167" s="5">
        <v>12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712</v>
      </c>
      <c r="CU167" s="63" t="str">
        <f t="shared" si="12"/>
        <v>.LETTER-DLTR-D</v>
      </c>
      <c r="CY167" s="7" t="s">
        <v>528</v>
      </c>
    </row>
    <row r="168" spans="1:103">
      <c r="A168" s="37" t="str">
        <f t="shared" si="9"/>
        <v>COMPUTER-A (COM-A)</v>
      </c>
      <c r="C168" s="7" t="s">
        <v>530</v>
      </c>
      <c r="D168" s="7" t="s">
        <v>531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6" t="s">
        <v>673</v>
      </c>
      <c r="AP168" s="5">
        <v>1</v>
      </c>
      <c r="AQ168" s="5">
        <v>12</v>
      </c>
      <c r="AR168" s="5" t="b">
        <v>1</v>
      </c>
      <c r="AS168" s="46" t="s">
        <v>673</v>
      </c>
      <c r="AT168" s="5">
        <v>1</v>
      </c>
      <c r="AU168" s="7">
        <v>36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6" t="s">
        <v>673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713</v>
      </c>
      <c r="CU168" s="63" t="str">
        <f t="shared" si="12"/>
        <v>.COMPUTER-ACOM-A</v>
      </c>
      <c r="CY168" s="7" t="s">
        <v>530</v>
      </c>
    </row>
    <row r="169" spans="1:103">
      <c r="A169" s="37" t="str">
        <f t="shared" si="9"/>
        <v>COMPUTER-B (COM-B)</v>
      </c>
      <c r="C169" s="7" t="s">
        <v>532</v>
      </c>
      <c r="D169" s="7" t="s">
        <v>533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6" t="s">
        <v>673</v>
      </c>
      <c r="AP169" s="5">
        <v>1</v>
      </c>
      <c r="AQ169" s="5">
        <v>12</v>
      </c>
      <c r="AR169" s="5" t="b">
        <v>1</v>
      </c>
      <c r="AS169" s="46" t="s">
        <v>673</v>
      </c>
      <c r="AT169" s="5">
        <v>7</v>
      </c>
      <c r="AU169" s="7">
        <v>18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6" t="s">
        <v>673</v>
      </c>
      <c r="BB169" s="5">
        <v>7</v>
      </c>
      <c r="BC169" s="7">
        <v>18</v>
      </c>
      <c r="BD169" s="5">
        <v>4</v>
      </c>
      <c r="BE169" s="5">
        <v>4</v>
      </c>
      <c r="BF169" s="5">
        <v>1</v>
      </c>
      <c r="BG169" s="5">
        <v>1</v>
      </c>
      <c r="BH169" s="5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713</v>
      </c>
      <c r="CU169" s="63" t="str">
        <f t="shared" si="12"/>
        <v>.COMPUTER-BCOM-B</v>
      </c>
      <c r="CY169" s="7" t="s">
        <v>532</v>
      </c>
    </row>
    <row r="170" spans="1:103">
      <c r="A170" s="37" t="str">
        <f t="shared" si="9"/>
        <v>SIDEBAR-A (SIDE-A)</v>
      </c>
      <c r="C170" s="7" t="s">
        <v>534</v>
      </c>
      <c r="D170" s="7" t="s">
        <v>536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6" t="s">
        <v>673</v>
      </c>
      <c r="AP170" s="5">
        <v>1</v>
      </c>
      <c r="AQ170" s="5">
        <v>12</v>
      </c>
      <c r="AR170" s="5" t="b">
        <v>1</v>
      </c>
      <c r="AS170" s="46" t="s">
        <v>673</v>
      </c>
      <c r="AT170" s="5">
        <v>1</v>
      </c>
      <c r="AU170" s="7">
        <v>36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6" t="s">
        <v>673</v>
      </c>
      <c r="BB170" s="5">
        <v>1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54" t="s">
        <v>672</v>
      </c>
      <c r="BL170" s="36"/>
      <c r="BM170" s="5" t="s">
        <v>0</v>
      </c>
      <c r="BN170" s="7">
        <v>0</v>
      </c>
      <c r="BO170" s="5" t="b">
        <v>0</v>
      </c>
      <c r="BZ170" s="7" t="s">
        <v>714</v>
      </c>
      <c r="CU170" s="63" t="str">
        <f t="shared" si="12"/>
        <v>.SIDEBAR-ASIDE-A</v>
      </c>
      <c r="CY170" s="7" t="s">
        <v>534</v>
      </c>
    </row>
    <row r="171" spans="1:103">
      <c r="A171" s="37" t="str">
        <f t="shared" si="9"/>
        <v>SIDEBAR-B (SIDE-B)</v>
      </c>
      <c r="C171" s="7" t="s">
        <v>535</v>
      </c>
      <c r="D171" s="7" t="s">
        <v>537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6" t="s">
        <v>673</v>
      </c>
      <c r="AP171" s="5">
        <v>1</v>
      </c>
      <c r="AQ171" s="5">
        <v>12</v>
      </c>
      <c r="AR171" s="5" t="b">
        <v>1</v>
      </c>
      <c r="AS171" s="46" t="s">
        <v>673</v>
      </c>
      <c r="AT171" s="5">
        <v>7</v>
      </c>
      <c r="AU171" s="7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6" t="s">
        <v>673</v>
      </c>
      <c r="BB171" s="5">
        <v>7</v>
      </c>
      <c r="BC171" s="7">
        <v>18</v>
      </c>
      <c r="BD171" s="5">
        <v>4</v>
      </c>
      <c r="BE171" s="5">
        <v>4</v>
      </c>
      <c r="BF171" s="5">
        <v>1</v>
      </c>
      <c r="BG171" s="5">
        <v>1</v>
      </c>
      <c r="BH171" s="54" t="s">
        <v>672</v>
      </c>
      <c r="BL171" s="36"/>
      <c r="BM171" s="5" t="s">
        <v>0</v>
      </c>
      <c r="BN171" s="7">
        <v>0</v>
      </c>
      <c r="BO171" s="5" t="b">
        <v>0</v>
      </c>
      <c r="BZ171" s="7" t="s">
        <v>714</v>
      </c>
      <c r="CU171" s="63" t="str">
        <f t="shared" si="12"/>
        <v>.SIDEBAR-BSIDE-B</v>
      </c>
      <c r="CY171" s="7" t="s">
        <v>535</v>
      </c>
    </row>
    <row r="172" spans="1:103">
      <c r="A172" s="37" t="str">
        <f t="shared" si="9"/>
        <v>PULL-QUOTE (PQ)</v>
      </c>
      <c r="C172" s="7" t="s">
        <v>398</v>
      </c>
      <c r="D172" s="7" t="s">
        <v>399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6" t="s">
        <v>673</v>
      </c>
      <c r="AP172" s="5">
        <v>1</v>
      </c>
      <c r="AQ172" s="5">
        <v>12</v>
      </c>
      <c r="AR172" s="5" t="b">
        <v>1</v>
      </c>
      <c r="AS172" s="46" t="s">
        <v>673</v>
      </c>
      <c r="AT172" s="5">
        <v>1</v>
      </c>
      <c r="AU172" s="7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6" t="s">
        <v>673</v>
      </c>
      <c r="BB172" s="5">
        <v>1</v>
      </c>
      <c r="BC172" s="7">
        <v>36</v>
      </c>
      <c r="BD172" s="5">
        <v>4</v>
      </c>
      <c r="BE172" s="5">
        <v>4</v>
      </c>
      <c r="BF172" s="5">
        <v>1</v>
      </c>
      <c r="BG172" s="5">
        <v>1</v>
      </c>
      <c r="BH172" s="54" t="s">
        <v>672</v>
      </c>
      <c r="BL172" s="36"/>
      <c r="BM172" s="5" t="s">
        <v>0</v>
      </c>
      <c r="BN172" s="7">
        <v>0</v>
      </c>
      <c r="BO172" s="5" t="b">
        <v>0</v>
      </c>
      <c r="BZ172" s="7" t="s">
        <v>715</v>
      </c>
      <c r="CU172" s="63" t="str">
        <f t="shared" si="12"/>
        <v>.PULL-QUOTEPQ</v>
      </c>
      <c r="CY172" s="7" t="s">
        <v>398</v>
      </c>
    </row>
    <row r="173" spans="1:103">
      <c r="A173" s="37" t="str">
        <f t="shared" si="9"/>
        <v>IMAGE (IMG)</v>
      </c>
      <c r="C173" s="7" t="s">
        <v>538</v>
      </c>
      <c r="D173" s="7" t="s">
        <v>539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6" t="s">
        <v>673</v>
      </c>
      <c r="AP173" s="5">
        <v>1</v>
      </c>
      <c r="AQ173" s="5">
        <v>12</v>
      </c>
      <c r="AR173" s="5" t="b">
        <v>1</v>
      </c>
      <c r="AS173" s="46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6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54" t="s">
        <v>672</v>
      </c>
      <c r="BL173" s="36"/>
      <c r="BM173" s="5" t="s">
        <v>0</v>
      </c>
      <c r="BN173" s="7">
        <v>0</v>
      </c>
      <c r="BO173" s="5" t="b">
        <v>0</v>
      </c>
      <c r="BZ173" s="7" t="s">
        <v>716</v>
      </c>
      <c r="CU173" s="63" t="str">
        <f>"."&amp;SUBSTITUTE(SUBSTITUTE(SUBSTITUTE(SUBSTITUTE(A173, "(",""),")","")," ",""),"#","")</f>
        <v>.IMAGEIMG</v>
      </c>
      <c r="CY173" s="7" t="s">
        <v>538</v>
      </c>
    </row>
    <row r="174" spans="1:103">
      <c r="A174" s="37" t="str">
        <f>IF($D174="","",TRIM($C174)&amp;" "&amp;CHAR(40)&amp;TRIM($D174)&amp;CHAR(41))</f>
        <v>TABLE (TBL)</v>
      </c>
      <c r="C174" s="7" t="s">
        <v>540</v>
      </c>
      <c r="D174" s="7" t="s">
        <v>541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6" t="s">
        <v>673</v>
      </c>
      <c r="AP174" s="5">
        <v>1</v>
      </c>
      <c r="AQ174" s="5">
        <v>12</v>
      </c>
      <c r="AR174" s="5" t="b">
        <v>1</v>
      </c>
      <c r="AS174" s="46" t="s">
        <v>673</v>
      </c>
      <c r="AT174" s="5">
        <v>1</v>
      </c>
      <c r="AU174" s="7">
        <v>36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6" t="s">
        <v>673</v>
      </c>
      <c r="BB174" s="5">
        <v>1</v>
      </c>
      <c r="BC174" s="7">
        <v>36</v>
      </c>
      <c r="BD174" s="5">
        <v>4</v>
      </c>
      <c r="BE174" s="5">
        <v>4</v>
      </c>
      <c r="BF174" s="5">
        <v>1</v>
      </c>
      <c r="BG174" s="5">
        <v>1</v>
      </c>
      <c r="BH174" s="54" t="s">
        <v>672</v>
      </c>
      <c r="BL174" s="36"/>
      <c r="BM174" s="5" t="s">
        <v>0</v>
      </c>
      <c r="BN174" s="7">
        <v>0</v>
      </c>
      <c r="BO174" s="5" t="b">
        <v>0</v>
      </c>
      <c r="BZ174" s="7" t="s">
        <v>717</v>
      </c>
      <c r="CU174" s="63" t="str">
        <f t="shared" si="12"/>
        <v>.TABLETBL</v>
      </c>
      <c r="CY174" s="7" t="s">
        <v>540</v>
      </c>
    </row>
    <row r="175" spans="1:103">
      <c r="A175" s="37" t="str">
        <f t="shared" si="9"/>
        <v>RECIPE (REC)</v>
      </c>
      <c r="C175" s="7" t="s">
        <v>574</v>
      </c>
      <c r="D175" s="7" t="s">
        <v>575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6" t="s">
        <v>673</v>
      </c>
      <c r="AP175" s="5">
        <v>1</v>
      </c>
      <c r="AQ175" s="5">
        <v>12</v>
      </c>
      <c r="AR175" s="5" t="b">
        <v>1</v>
      </c>
      <c r="AS175" s="46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6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3" t="s">
        <v>740</v>
      </c>
      <c r="BL175" s="36"/>
      <c r="BM175" s="5" t="s">
        <v>0</v>
      </c>
      <c r="BN175" s="7">
        <v>0</v>
      </c>
      <c r="BO175" s="5" t="b">
        <v>0</v>
      </c>
      <c r="BZ175" s="7" t="s">
        <v>704</v>
      </c>
      <c r="CU175" s="63" t="str">
        <f t="shared" si="12"/>
        <v>.RECIPEREC</v>
      </c>
      <c r="CY175" s="7" t="s">
        <v>574</v>
      </c>
    </row>
    <row r="176" spans="1:103">
      <c r="A176" s="37" t="str">
        <f t="shared" si="9"/>
        <v>END (END)</v>
      </c>
      <c r="C176" s="7" t="s">
        <v>576</v>
      </c>
      <c r="D176" s="7" t="s">
        <v>576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6</v>
      </c>
      <c r="AF176" s="7">
        <v>18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0</v>
      </c>
      <c r="AO176" s="6" t="s">
        <v>65</v>
      </c>
      <c r="AP176" s="5">
        <v>0</v>
      </c>
      <c r="AQ176" s="5">
        <v>6</v>
      </c>
      <c r="AR176" s="5" t="b">
        <v>1</v>
      </c>
      <c r="AS176" s="25" t="s">
        <v>675</v>
      </c>
      <c r="AT176" s="5">
        <v>1</v>
      </c>
      <c r="AU176" s="5">
        <v>36</v>
      </c>
      <c r="AV176" s="45" t="b">
        <v>1</v>
      </c>
      <c r="AW176" s="25" t="s">
        <v>675</v>
      </c>
      <c r="AX176" s="5">
        <v>1</v>
      </c>
      <c r="AY176" s="5">
        <v>12</v>
      </c>
      <c r="AZ176" s="5" t="b">
        <v>1</v>
      </c>
      <c r="BA176" s="25" t="s">
        <v>675</v>
      </c>
      <c r="BB176" s="5">
        <v>1</v>
      </c>
      <c r="BC176" s="7">
        <v>36</v>
      </c>
      <c r="BD176" s="5">
        <v>4</v>
      </c>
      <c r="BE176" s="5">
        <v>4</v>
      </c>
      <c r="BF176" s="5">
        <v>1</v>
      </c>
      <c r="BG176" s="5">
        <v>1</v>
      </c>
      <c r="BH176" s="55" t="s">
        <v>674</v>
      </c>
      <c r="BL176" s="36"/>
      <c r="BM176" s="5" t="s">
        <v>0</v>
      </c>
      <c r="BN176" s="7">
        <v>0</v>
      </c>
      <c r="BO176" s="5" t="b">
        <v>0</v>
      </c>
      <c r="CA176" s="7" t="b">
        <v>1</v>
      </c>
      <c r="CO176" s="7" t="b">
        <v>1</v>
      </c>
      <c r="CU176" s="63" t="str">
        <f t="shared" si="12"/>
        <v>.ENDEND</v>
      </c>
    </row>
    <row r="177" spans="1:99">
      <c r="A177" s="37" t="str">
        <f t="shared" si="9"/>
        <v>bold (b)</v>
      </c>
      <c r="C177" s="7" t="s">
        <v>400</v>
      </c>
      <c r="D177" s="7" t="s">
        <v>401</v>
      </c>
      <c r="E177" s="37" t="str">
        <f t="shared" ref="E177:E205" si="14">IF($D177="","",TRIM($C177)&amp;" "&amp;CHAR(40)&amp;TRIM($D177)&amp;CHAR(41))</f>
        <v>bold (b)</v>
      </c>
      <c r="F177" s="5">
        <v>2</v>
      </c>
      <c r="G177" s="7" t="b">
        <v>1</v>
      </c>
      <c r="H177" s="5">
        <v>2</v>
      </c>
      <c r="I177" s="5" t="s">
        <v>66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AA177" s="5"/>
      <c r="AB177" s="5"/>
      <c r="BI177" s="6" t="s">
        <v>65</v>
      </c>
      <c r="BJ177" s="5">
        <v>0</v>
      </c>
      <c r="BK177" s="5">
        <v>0</v>
      </c>
      <c r="BL177" s="41" t="s">
        <v>665</v>
      </c>
      <c r="BM177" s="5" t="s">
        <v>69</v>
      </c>
      <c r="BN177" s="5"/>
      <c r="BO177" s="5" t="b">
        <v>0</v>
      </c>
      <c r="CU177" s="63" t="str">
        <f t="shared" si="12"/>
        <v>.boldb</v>
      </c>
    </row>
    <row r="178" spans="1:99">
      <c r="A178" s="37" t="str">
        <f t="shared" si="9"/>
        <v>ital (i)</v>
      </c>
      <c r="C178" s="7" t="s">
        <v>216</v>
      </c>
      <c r="D178" s="7" t="s">
        <v>402</v>
      </c>
      <c r="E178" s="37" t="str">
        <f t="shared" si="14"/>
        <v>ital (i)</v>
      </c>
      <c r="F178" s="5">
        <v>2</v>
      </c>
      <c r="G178" s="7" t="b">
        <v>1</v>
      </c>
      <c r="H178" s="5">
        <v>2</v>
      </c>
      <c r="I178" s="5" t="s">
        <v>66</v>
      </c>
      <c r="J178" s="7">
        <v>12</v>
      </c>
      <c r="K178" s="7" t="b">
        <v>1</v>
      </c>
      <c r="L178" s="5" t="b">
        <v>0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AA178" s="5"/>
      <c r="AB178" s="5"/>
      <c r="BI178" s="6" t="s">
        <v>65</v>
      </c>
      <c r="BJ178" s="5">
        <v>0</v>
      </c>
      <c r="BK178" s="5">
        <v>0</v>
      </c>
      <c r="BL178" s="41" t="s">
        <v>665</v>
      </c>
      <c r="BM178" s="5" t="s">
        <v>69</v>
      </c>
      <c r="BN178" s="5"/>
      <c r="BO178" s="5" t="b">
        <v>0</v>
      </c>
      <c r="CU178" s="63" t="str">
        <f t="shared" si="12"/>
        <v>.itali</v>
      </c>
    </row>
    <row r="179" spans="1:99">
      <c r="A179" s="37" t="str">
        <f t="shared" si="9"/>
        <v>underline (u)</v>
      </c>
      <c r="C179" s="7" t="s">
        <v>403</v>
      </c>
      <c r="D179" s="7" t="s">
        <v>404</v>
      </c>
      <c r="E179" s="37" t="str">
        <f t="shared" si="14"/>
        <v>underline (u)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5" t="b">
        <v>0</v>
      </c>
      <c r="L179" s="5" t="b">
        <v>0</v>
      </c>
      <c r="M179" s="6" t="s">
        <v>65</v>
      </c>
      <c r="N179" s="5" t="b">
        <v>1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AA179" s="5"/>
      <c r="AB179" s="5"/>
      <c r="BI179" s="6" t="s">
        <v>65</v>
      </c>
      <c r="BJ179" s="5">
        <v>0</v>
      </c>
      <c r="BK179" s="5">
        <v>0</v>
      </c>
      <c r="BL179" s="41" t="s">
        <v>665</v>
      </c>
      <c r="BM179" s="5" t="s">
        <v>69</v>
      </c>
      <c r="BN179" s="5"/>
      <c r="BO179" s="5" t="b">
        <v>0</v>
      </c>
      <c r="CU179" s="63" t="str">
        <f t="shared" si="12"/>
        <v>.underlineu</v>
      </c>
    </row>
    <row r="180" spans="1:99">
      <c r="A180" s="37" t="str">
        <f t="shared" si="9"/>
        <v>smallcaps (sc)</v>
      </c>
      <c r="C180" s="7" t="s">
        <v>405</v>
      </c>
      <c r="D180" s="7" t="s">
        <v>570</v>
      </c>
      <c r="E180" s="37" t="str">
        <f t="shared" si="14"/>
        <v>smallcaps (sc)</v>
      </c>
      <c r="F180" s="5">
        <v>2</v>
      </c>
      <c r="G180" s="7" t="b">
        <v>1</v>
      </c>
      <c r="H180" s="5">
        <v>2</v>
      </c>
      <c r="I180" s="5" t="s">
        <v>66</v>
      </c>
      <c r="J180" s="7">
        <v>12</v>
      </c>
      <c r="K180" s="5" t="b">
        <v>0</v>
      </c>
      <c r="L180" s="5" t="b">
        <v>0</v>
      </c>
      <c r="M180" s="6" t="s">
        <v>65</v>
      </c>
      <c r="N180" s="5" t="b">
        <v>0</v>
      </c>
      <c r="O180" s="5" t="b">
        <v>1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AA180" s="5"/>
      <c r="AB180" s="5"/>
      <c r="BI180" s="6" t="s">
        <v>65</v>
      </c>
      <c r="BJ180" s="5">
        <v>0</v>
      </c>
      <c r="BK180" s="5">
        <v>0</v>
      </c>
      <c r="BL180" s="41" t="s">
        <v>665</v>
      </c>
      <c r="BM180" s="5" t="s">
        <v>69</v>
      </c>
      <c r="BN180" s="5"/>
      <c r="BO180" s="5" t="b">
        <v>0</v>
      </c>
      <c r="CU180" s="63" t="str">
        <f t="shared" si="12"/>
        <v>.smallcapssc</v>
      </c>
    </row>
    <row r="181" spans="1:99">
      <c r="A181" s="37" t="str">
        <f t="shared" si="9"/>
        <v>super (sup)</v>
      </c>
      <c r="C181" s="7" t="s">
        <v>406</v>
      </c>
      <c r="D181" s="7" t="s">
        <v>571</v>
      </c>
      <c r="E181" s="37" t="str">
        <f t="shared" si="14"/>
        <v>super (sup)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5" t="b">
        <v>0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1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1" t="s">
        <v>665</v>
      </c>
      <c r="BM181" s="5" t="s">
        <v>69</v>
      </c>
      <c r="BN181" s="5"/>
      <c r="BO181" s="5" t="b">
        <v>0</v>
      </c>
      <c r="CU181" s="63" t="str">
        <f t="shared" si="12"/>
        <v>.supersup</v>
      </c>
    </row>
    <row r="182" spans="1:99">
      <c r="A182" s="37" t="str">
        <f t="shared" si="9"/>
        <v>sub (sub)</v>
      </c>
      <c r="C182" s="7" t="s">
        <v>217</v>
      </c>
      <c r="D182" s="7" t="s">
        <v>217</v>
      </c>
      <c r="E182" s="37" t="str">
        <f t="shared" si="14"/>
        <v>sub (sub)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1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1" t="s">
        <v>665</v>
      </c>
      <c r="BM182" s="5" t="s">
        <v>69</v>
      </c>
      <c r="BN182" s="5"/>
      <c r="BO182" s="5" t="b">
        <v>0</v>
      </c>
      <c r="CU182" s="63" t="str">
        <f t="shared" si="12"/>
        <v>.subsub</v>
      </c>
    </row>
    <row r="183" spans="1:99">
      <c r="A183" s="37" t="str">
        <f t="shared" si="9"/>
        <v>strike (str)</v>
      </c>
      <c r="C183" s="7" t="s">
        <v>407</v>
      </c>
      <c r="D183" s="7" t="s">
        <v>572</v>
      </c>
      <c r="E183" s="37" t="str">
        <f t="shared" si="14"/>
        <v>strike (str)</v>
      </c>
      <c r="F183" s="5">
        <v>2</v>
      </c>
      <c r="G183" s="7" t="b">
        <v>0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1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1" t="s">
        <v>665</v>
      </c>
      <c r="BM183" s="5" t="s">
        <v>69</v>
      </c>
      <c r="BN183" s="5"/>
      <c r="BO183" s="5" t="b">
        <v>0</v>
      </c>
      <c r="CU183" s="63" t="str">
        <f t="shared" si="12"/>
        <v>.strikestr</v>
      </c>
    </row>
    <row r="184" spans="1:99">
      <c r="A184" s="37" t="str">
        <f t="shared" si="9"/>
        <v>bold-ital (bi)</v>
      </c>
      <c r="C184" s="7" t="s">
        <v>700</v>
      </c>
      <c r="D184" s="7" t="s">
        <v>678</v>
      </c>
      <c r="E184" s="37" t="str">
        <f t="shared" si="14"/>
        <v>bold-ital (bi)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7" t="b">
        <v>1</v>
      </c>
      <c r="L184" s="5" t="b">
        <v>1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1" t="s">
        <v>665</v>
      </c>
      <c r="BM184" s="5" t="s">
        <v>69</v>
      </c>
      <c r="BN184" s="5"/>
      <c r="BO184" s="5" t="b">
        <v>0</v>
      </c>
      <c r="CU184" s="63" t="str">
        <f>"."&amp;SUBSTITUTE(SUBSTITUTE(SUBSTITUTE(SUBSTITUTE(A184, "(",""),")","")," ",""),"#","")</f>
        <v>.bold-italbi</v>
      </c>
    </row>
    <row r="185" spans="1:99">
      <c r="A185" s="37" t="str">
        <f>IF($D185="","",TRIM($C185)&amp;" "&amp;CHAR(40)&amp;TRIM($D185)&amp;CHAR(41))</f>
        <v>smallcaps-ital (sci)</v>
      </c>
      <c r="C185" s="7" t="s">
        <v>683</v>
      </c>
      <c r="D185" s="7" t="s">
        <v>679</v>
      </c>
      <c r="E185" s="37" t="str">
        <f>IF($D185="","",TRIM($C185)&amp;" "&amp;CHAR(40)&amp;TRIM($D185)&amp;CHAR(41))</f>
        <v>smallcaps-ital (sci)</v>
      </c>
      <c r="F185" s="5">
        <v>2</v>
      </c>
      <c r="G185" s="7" t="b">
        <v>0</v>
      </c>
      <c r="H185" s="5">
        <v>2</v>
      </c>
      <c r="I185" s="5" t="s">
        <v>66</v>
      </c>
      <c r="J185" s="7">
        <v>12</v>
      </c>
      <c r="K185" s="7" t="b">
        <v>1</v>
      </c>
      <c r="L185" s="7" t="b">
        <v>0</v>
      </c>
      <c r="M185" s="6" t="s">
        <v>65</v>
      </c>
      <c r="N185" s="5" t="b">
        <v>0</v>
      </c>
      <c r="O185" s="7" t="b">
        <v>1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I185" s="6" t="s">
        <v>65</v>
      </c>
      <c r="BJ185" s="5">
        <v>0</v>
      </c>
      <c r="BK185" s="5">
        <v>0</v>
      </c>
      <c r="BL185" s="41" t="s">
        <v>665</v>
      </c>
      <c r="BM185" s="5" t="s">
        <v>69</v>
      </c>
      <c r="BO185" s="5" t="b">
        <v>0</v>
      </c>
      <c r="CU185" s="63" t="str">
        <f>"."&amp;SUBSTITUTE(SUBSTITUTE(SUBSTITUTE(SUBSTITUTE(A185, "(",""),")","")," ",""),"#","")</f>
        <v>.smallcaps-italsci</v>
      </c>
    </row>
    <row r="186" spans="1:99">
      <c r="A186" s="37" t="str">
        <f>IF($D186="","",TRIM($C186)&amp;" "&amp;CHAR(40)&amp;TRIM($D186)&amp;CHAR(41))</f>
        <v>smallcaps-bold (scb)</v>
      </c>
      <c r="C186" s="7" t="s">
        <v>681</v>
      </c>
      <c r="D186" s="7" t="s">
        <v>682</v>
      </c>
      <c r="E186" s="37" t="str">
        <f>IF($D186="","",TRIM($C186)&amp;" "&amp;CHAR(40)&amp;TRIM($D186)&amp;CHAR(41))</f>
        <v>smallcaps-bold (scb)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7" t="b">
        <v>0</v>
      </c>
      <c r="L186" s="7" t="b">
        <v>1</v>
      </c>
      <c r="M186" s="6" t="s">
        <v>65</v>
      </c>
      <c r="N186" s="5" t="b">
        <v>0</v>
      </c>
      <c r="O186" s="7" t="b">
        <v>1</v>
      </c>
      <c r="P186" s="7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BI186" s="6" t="s">
        <v>65</v>
      </c>
      <c r="BJ186" s="5">
        <v>0</v>
      </c>
      <c r="BK186" s="5">
        <v>0</v>
      </c>
      <c r="BL186" s="41" t="s">
        <v>665</v>
      </c>
      <c r="BM186" s="5" t="s">
        <v>69</v>
      </c>
      <c r="BO186" s="5" t="b">
        <v>0</v>
      </c>
      <c r="CU186" s="63" t="str">
        <f>"."&amp;SUBSTITUTE(SUBSTITUTE(SUBSTITUTE(SUBSTITUTE(A186, "(",""),")","")," ",""),"#","")</f>
        <v>.smallcaps-boldscb</v>
      </c>
    </row>
    <row r="187" spans="1:99">
      <c r="A187" s="37" t="str">
        <f>IF($D187="","",TRIM($C187)&amp;" "&amp;CHAR(40)&amp;TRIM($D187)&amp;CHAR(41))</f>
        <v>smallcaps-bold-ital (scbi)</v>
      </c>
      <c r="C187" s="7" t="s">
        <v>684</v>
      </c>
      <c r="D187" s="7" t="s">
        <v>685</v>
      </c>
      <c r="E187" s="37" t="str">
        <f>IF($D187="","",TRIM($C187)&amp;" "&amp;CHAR(40)&amp;TRIM($D187)&amp;CHAR(41))</f>
        <v>smallcaps-bold-ital (scbi)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7" t="b">
        <v>1</v>
      </c>
      <c r="L187" s="7" t="b">
        <v>1</v>
      </c>
      <c r="M187" s="6" t="s">
        <v>65</v>
      </c>
      <c r="N187" s="5" t="b">
        <v>0</v>
      </c>
      <c r="O187" s="7" t="b">
        <v>1</v>
      </c>
      <c r="P187" s="7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BI187" s="6" t="s">
        <v>65</v>
      </c>
      <c r="BJ187" s="5">
        <v>0</v>
      </c>
      <c r="BK187" s="5">
        <v>0</v>
      </c>
      <c r="BL187" s="41" t="s">
        <v>665</v>
      </c>
      <c r="BM187" s="5" t="s">
        <v>69</v>
      </c>
      <c r="BO187" s="5" t="b">
        <v>0</v>
      </c>
      <c r="CU187" s="63" t="str">
        <f>"."&amp;SUBSTITUTE(SUBSTITUTE(SUBSTITUTE(SUBSTITUTE(A187, "(",""),")","")," ",""),"#","")</f>
        <v>.smallcaps-bold-italscbi</v>
      </c>
    </row>
    <row r="188" spans="1:99">
      <c r="A188" s="37" t="str">
        <f>IF($D188="","",TRIM($C188)&amp;" "&amp;CHAR(40)&amp;TRIM($D188)&amp;CHAR(41))</f>
        <v>super-ital (supi)</v>
      </c>
      <c r="C188" s="7" t="s">
        <v>689</v>
      </c>
      <c r="D188" s="7" t="s">
        <v>680</v>
      </c>
      <c r="E188" s="37" t="str">
        <f>IF($D188="","",TRIM($C188)&amp;" "&amp;CHAR(40)&amp;TRIM($D188)&amp;CHAR(41))</f>
        <v>super-ital (supi)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7" t="b">
        <v>1</v>
      </c>
      <c r="L188" s="7" t="b">
        <v>0</v>
      </c>
      <c r="M188" s="6" t="s">
        <v>65</v>
      </c>
      <c r="N188" s="5" t="b">
        <v>0</v>
      </c>
      <c r="O188" s="7" t="b">
        <v>0</v>
      </c>
      <c r="P188" s="7" t="b">
        <v>1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41" t="s">
        <v>665</v>
      </c>
      <c r="BM188" s="5" t="s">
        <v>69</v>
      </c>
      <c r="BO188" s="5" t="b">
        <v>0</v>
      </c>
      <c r="CU188" s="63" t="str">
        <f t="shared" si="12"/>
        <v>.super-italsupi</v>
      </c>
    </row>
    <row r="189" spans="1:99">
      <c r="A189" s="37" t="str">
        <f t="shared" si="9"/>
        <v>cstyle1 (cs1)</v>
      </c>
      <c r="C189" s="7" t="s">
        <v>542</v>
      </c>
      <c r="D189" s="7" t="s">
        <v>543</v>
      </c>
      <c r="E189" s="37" t="str">
        <f t="shared" si="14"/>
        <v>cstyle1 (cs1)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1" t="s">
        <v>665</v>
      </c>
      <c r="BM189" s="5" t="s">
        <v>69</v>
      </c>
      <c r="BN189" s="5"/>
      <c r="BO189" s="5" t="b">
        <v>0</v>
      </c>
      <c r="CU189" s="63" t="str">
        <f t="shared" si="12"/>
        <v>.cstyle1cs1</v>
      </c>
    </row>
    <row r="190" spans="1:99">
      <c r="A190" s="37" t="str">
        <f>IF($D190="","",TRIM($C190)&amp;" "&amp;CHAR(40)&amp;TRIM($D190)&amp;CHAR(41))</f>
        <v>cstyle2 (cs2)</v>
      </c>
      <c r="C190" s="7" t="s">
        <v>544</v>
      </c>
      <c r="D190" s="7" t="s">
        <v>545</v>
      </c>
      <c r="E190" s="37" t="str">
        <f t="shared" si="14"/>
        <v>cstyle2 (cs2)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5" t="b">
        <v>0</v>
      </c>
      <c r="L190" s="5" t="b">
        <v>0</v>
      </c>
      <c r="M190" s="6" t="s">
        <v>65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AA190" s="5"/>
      <c r="AB190" s="5"/>
      <c r="BI190" s="6" t="s">
        <v>65</v>
      </c>
      <c r="BJ190" s="5">
        <v>0</v>
      </c>
      <c r="BK190" s="5">
        <v>0</v>
      </c>
      <c r="BL190" s="41" t="s">
        <v>665</v>
      </c>
      <c r="BM190" s="5" t="s">
        <v>69</v>
      </c>
      <c r="BN190" s="5"/>
      <c r="BO190" s="5" t="b">
        <v>0</v>
      </c>
      <c r="CU190" s="63" t="str">
        <f t="shared" si="12"/>
        <v>.cstyle2cs2</v>
      </c>
    </row>
    <row r="191" spans="1:99">
      <c r="A191" s="37" t="str">
        <f t="shared" si="9"/>
        <v>cs-head (cshd)</v>
      </c>
      <c r="C191" s="7" t="s">
        <v>408</v>
      </c>
      <c r="D191" s="7" t="s">
        <v>671</v>
      </c>
      <c r="E191" s="37" t="str">
        <f t="shared" si="14"/>
        <v>cs-head (cshd)</v>
      </c>
      <c r="F191" s="5">
        <v>2</v>
      </c>
      <c r="G191" s="7" t="b">
        <v>0</v>
      </c>
      <c r="H191" s="5">
        <v>2</v>
      </c>
      <c r="I191" s="5" t="s">
        <v>2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44" t="s">
        <v>669</v>
      </c>
      <c r="BM191" s="5" t="s">
        <v>69</v>
      </c>
      <c r="BN191" s="5"/>
      <c r="BO191" s="5" t="b">
        <v>0</v>
      </c>
      <c r="CU191" s="63" t="str">
        <f t="shared" si="12"/>
        <v>.cs-headcshd</v>
      </c>
    </row>
    <row r="192" spans="1:99">
      <c r="A192" s="37" t="str">
        <f t="shared" si="9"/>
        <v>cs-speaker (csp)</v>
      </c>
      <c r="C192" s="7" t="s">
        <v>409</v>
      </c>
      <c r="D192" s="7" t="s">
        <v>410</v>
      </c>
      <c r="E192" s="37" t="str">
        <f t="shared" si="14"/>
        <v>cs-speaker (csp)</v>
      </c>
      <c r="F192" s="5">
        <v>2</v>
      </c>
      <c r="G192" s="7" t="b">
        <v>0</v>
      </c>
      <c r="H192" s="5">
        <v>2</v>
      </c>
      <c r="I192" s="5" t="s">
        <v>2</v>
      </c>
      <c r="J192" s="7">
        <v>12</v>
      </c>
      <c r="K192" s="5" t="b">
        <v>0</v>
      </c>
      <c r="L192" s="5" t="b">
        <v>0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44" t="s">
        <v>669</v>
      </c>
      <c r="BM192" s="5" t="s">
        <v>69</v>
      </c>
      <c r="BN192" s="5"/>
      <c r="BO192" s="5" t="b">
        <v>0</v>
      </c>
      <c r="CU192" s="63" t="str">
        <f t="shared" si="12"/>
        <v>.cs-speakercsp</v>
      </c>
    </row>
    <row r="193" spans="1:99">
      <c r="A193" s="37" t="str">
        <f t="shared" si="9"/>
        <v>cs-text-message (ctm)</v>
      </c>
      <c r="C193" s="7" t="s">
        <v>411</v>
      </c>
      <c r="D193" s="7" t="s">
        <v>412</v>
      </c>
      <c r="E193" s="37" t="str">
        <f t="shared" si="14"/>
        <v>cs-text-message (ctm)</v>
      </c>
      <c r="F193" s="5">
        <v>2</v>
      </c>
      <c r="G193" s="7" t="b">
        <v>0</v>
      </c>
      <c r="H193" s="5">
        <v>2</v>
      </c>
      <c r="I193" s="5" t="s">
        <v>71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44" t="s">
        <v>669</v>
      </c>
      <c r="BM193" s="5" t="s">
        <v>69</v>
      </c>
      <c r="BN193" s="5"/>
      <c r="BO193" s="5" t="b">
        <v>0</v>
      </c>
      <c r="CU193" s="63" t="str">
        <f t="shared" si="12"/>
        <v>.cs-text-messagectm</v>
      </c>
    </row>
    <row r="194" spans="1:99">
      <c r="A194" s="37" t="str">
        <f t="shared" si="9"/>
        <v>cs-computer (ccom)</v>
      </c>
      <c r="C194" s="7" t="s">
        <v>557</v>
      </c>
      <c r="D194" s="7" t="s">
        <v>546</v>
      </c>
      <c r="E194" s="37" t="str">
        <f t="shared" si="14"/>
        <v>cs-computer (ccom)</v>
      </c>
      <c r="F194" s="5">
        <v>2</v>
      </c>
      <c r="G194" s="7" t="b">
        <v>0</v>
      </c>
      <c r="H194" s="5">
        <v>2</v>
      </c>
      <c r="I194" s="5" t="s">
        <v>71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4" t="s">
        <v>669</v>
      </c>
      <c r="BM194" s="5" t="s">
        <v>69</v>
      </c>
      <c r="BN194" s="5"/>
      <c r="BO194" s="5" t="b">
        <v>0</v>
      </c>
      <c r="CU194" s="63" t="str">
        <f t="shared" si="12"/>
        <v>.cs-computerccom</v>
      </c>
    </row>
    <row r="195" spans="1:99">
      <c r="A195" s="37" t="str">
        <f t="shared" si="9"/>
        <v>cs-design-note (cdn)</v>
      </c>
      <c r="C195" s="7" t="s">
        <v>413</v>
      </c>
      <c r="D195" s="7" t="s">
        <v>414</v>
      </c>
      <c r="E195" s="37" t="str">
        <f t="shared" si="14"/>
        <v>cs-design-note (cdn)</v>
      </c>
      <c r="F195" s="5">
        <v>2</v>
      </c>
      <c r="G195" s="7" t="b">
        <v>0</v>
      </c>
      <c r="H195" s="5">
        <v>2</v>
      </c>
      <c r="I195" s="5" t="s">
        <v>1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40" t="s">
        <v>70</v>
      </c>
      <c r="BM195" s="5" t="s">
        <v>69</v>
      </c>
      <c r="BN195" s="5"/>
      <c r="BO195" s="5" t="b">
        <v>0</v>
      </c>
      <c r="CU195" s="63" t="str">
        <f t="shared" si="12"/>
        <v>.cs-design-notecdn</v>
      </c>
    </row>
    <row r="196" spans="1:99">
      <c r="A196" s="37" t="str">
        <f t="shared" si="9"/>
        <v>cs-image-placement (cimg)</v>
      </c>
      <c r="C196" s="7" t="s">
        <v>415</v>
      </c>
      <c r="D196" s="7" t="s">
        <v>573</v>
      </c>
      <c r="E196" s="37" t="str">
        <f t="shared" si="14"/>
        <v>cs-image-placement (cimg)</v>
      </c>
      <c r="F196" s="5">
        <v>2</v>
      </c>
      <c r="G196" s="7" t="b">
        <v>0</v>
      </c>
      <c r="H196" s="5">
        <v>2</v>
      </c>
      <c r="I196" s="5" t="s">
        <v>1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0" t="s">
        <v>70</v>
      </c>
      <c r="BM196" s="5" t="s">
        <v>69</v>
      </c>
      <c r="BN196" s="5"/>
      <c r="BO196" s="5" t="b">
        <v>0</v>
      </c>
      <c r="CU196" s="63" t="str">
        <f t="shared" si="12"/>
        <v>.cs-image-placementcimg</v>
      </c>
    </row>
    <row r="197" spans="1:99">
      <c r="A197" s="37" t="str">
        <f t="shared" si="9"/>
        <v>symbols (sym)</v>
      </c>
      <c r="C197" s="7" t="s">
        <v>690</v>
      </c>
      <c r="D197" s="7" t="s">
        <v>691</v>
      </c>
      <c r="E197" s="37" t="str">
        <f t="shared" si="14"/>
        <v>symbols (sym)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42" t="s">
        <v>667</v>
      </c>
      <c r="BM197" s="5" t="s">
        <v>69</v>
      </c>
      <c r="BN197" s="5"/>
      <c r="BO197" s="5" t="b">
        <v>0</v>
      </c>
      <c r="CU197" s="63" t="str">
        <f>"."&amp;SUBSTITUTE(SUBSTITUTE(SUBSTITUTE(SUBSTITUTE(A197, "(",""),")","")," ",""),"#","")</f>
        <v>.symbolssym</v>
      </c>
    </row>
    <row r="198" spans="1:99">
      <c r="A198" s="37" t="str">
        <f>IF($D198="","",TRIM($C198)&amp;" "&amp;CHAR(40)&amp;TRIM($D198)&amp;CHAR(41))</f>
        <v>symbols-ital (symi)</v>
      </c>
      <c r="C198" s="7" t="s">
        <v>687</v>
      </c>
      <c r="D198" s="7" t="s">
        <v>688</v>
      </c>
      <c r="E198" s="37" t="str">
        <f>IF($D198="","",TRIM($C198)&amp;" "&amp;CHAR(40)&amp;TRIM($D198)&amp;CHAR(41))</f>
        <v>symbols-ital (symi)</v>
      </c>
      <c r="F198" s="5">
        <v>2</v>
      </c>
      <c r="G198" s="7" t="b">
        <v>0</v>
      </c>
      <c r="H198" s="5">
        <v>2</v>
      </c>
      <c r="I198" s="5" t="s">
        <v>66</v>
      </c>
      <c r="J198" s="7">
        <v>12</v>
      </c>
      <c r="K198" s="7" t="b">
        <v>1</v>
      </c>
      <c r="L198" s="7" t="b">
        <v>0</v>
      </c>
      <c r="M198" s="6" t="s">
        <v>65</v>
      </c>
      <c r="N198" s="5" t="b">
        <v>0</v>
      </c>
      <c r="O198" s="7" t="b">
        <v>0</v>
      </c>
      <c r="P198" s="7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BI198" s="6" t="s">
        <v>65</v>
      </c>
      <c r="BJ198" s="5">
        <v>0</v>
      </c>
      <c r="BK198" s="5">
        <v>0</v>
      </c>
      <c r="BL198" s="42" t="s">
        <v>667</v>
      </c>
      <c r="BM198" s="5" t="s">
        <v>69</v>
      </c>
      <c r="BO198" s="5" t="b">
        <v>0</v>
      </c>
      <c r="CU198" s="63" t="str">
        <f t="shared" si="12"/>
        <v>.symbols-italsymi</v>
      </c>
    </row>
    <row r="199" spans="1:99">
      <c r="A199" s="37" t="str">
        <f t="shared" si="9"/>
        <v>cross-reference (xref)</v>
      </c>
      <c r="C199" s="7" t="s">
        <v>416</v>
      </c>
      <c r="D199" s="7" t="s">
        <v>215</v>
      </c>
      <c r="E199" s="37" t="str">
        <f t="shared" si="14"/>
        <v>cross-reference (xref)</v>
      </c>
      <c r="F199" s="5">
        <v>2</v>
      </c>
      <c r="G199" s="7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56" t="s">
        <v>666</v>
      </c>
      <c r="BM199" s="5" t="s">
        <v>69</v>
      </c>
      <c r="BN199" s="5"/>
      <c r="BO199" s="5" t="b">
        <v>0</v>
      </c>
      <c r="CU199" s="63" t="str">
        <f t="shared" si="12"/>
        <v>.cross-referencexref</v>
      </c>
    </row>
    <row r="200" spans="1:99">
      <c r="A200" s="37" t="str">
        <f>IF($D200="","",TRIM($C200)&amp;" "&amp;CHAR(40)&amp;TRIM($D200)&amp;CHAR(41))</f>
        <v>redacted-text (red)</v>
      </c>
      <c r="C200" s="7" t="s">
        <v>547</v>
      </c>
      <c r="D200" s="7" t="s">
        <v>548</v>
      </c>
      <c r="E200" s="37" t="s">
        <v>549</v>
      </c>
      <c r="F200" s="5">
        <v>2</v>
      </c>
      <c r="G200" s="7" t="b">
        <v>0</v>
      </c>
      <c r="H200" s="5">
        <v>2</v>
      </c>
      <c r="I200" s="5" t="s">
        <v>66</v>
      </c>
      <c r="J200" s="7">
        <v>12</v>
      </c>
      <c r="K200" s="5" t="b">
        <v>0</v>
      </c>
      <c r="L200" s="5" t="b">
        <v>1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4" t="s">
        <v>669</v>
      </c>
      <c r="BM200" s="5" t="s">
        <v>69</v>
      </c>
      <c r="BN200" s="5"/>
      <c r="BO200" s="5" t="b">
        <v>0</v>
      </c>
      <c r="CU200" s="63" t="str">
        <f t="shared" si="12"/>
        <v>.redacted-textred</v>
      </c>
    </row>
    <row r="201" spans="1:99">
      <c r="A201" s="37" t="str">
        <f>IF($D201="","",TRIM($C201)&amp;" "&amp;CHAR(40)&amp;TRIM($D201)&amp;CHAR(41))</f>
        <v>keyphrase (kp)</v>
      </c>
      <c r="C201" s="7" t="s">
        <v>550</v>
      </c>
      <c r="D201" s="7" t="s">
        <v>551</v>
      </c>
      <c r="E201" s="37" t="s">
        <v>552</v>
      </c>
      <c r="F201" s="5">
        <v>2</v>
      </c>
      <c r="G201" s="7" t="b">
        <v>0</v>
      </c>
      <c r="H201" s="5">
        <v>2</v>
      </c>
      <c r="I201" s="5" t="s">
        <v>66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56" t="s">
        <v>666</v>
      </c>
      <c r="BM201" s="5" t="s">
        <v>69</v>
      </c>
      <c r="BN201" s="5"/>
      <c r="BO201" s="5" t="b">
        <v>0</v>
      </c>
      <c r="CU201" s="63" t="str">
        <f t="shared" si="12"/>
        <v>.keyphrasekp</v>
      </c>
    </row>
    <row r="202" spans="1:99">
      <c r="A202" s="37" t="str">
        <f t="shared" si="9"/>
        <v>cs-cleanup-exclude (cex)</v>
      </c>
      <c r="C202" s="7" t="s">
        <v>417</v>
      </c>
      <c r="D202" s="7" t="s">
        <v>418</v>
      </c>
      <c r="E202" s="37" t="str">
        <f t="shared" si="14"/>
        <v>cs-cleanup-exclude (cex)</v>
      </c>
      <c r="F202" s="5">
        <v>2</v>
      </c>
      <c r="G202" s="7" t="b">
        <v>0</v>
      </c>
      <c r="H202" s="5">
        <v>2</v>
      </c>
      <c r="I202" s="5" t="s">
        <v>66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42" t="s">
        <v>667</v>
      </c>
      <c r="BM202" s="5" t="s">
        <v>69</v>
      </c>
      <c r="BN202" s="5"/>
      <c r="BO202" s="5" t="b">
        <v>0</v>
      </c>
      <c r="CU202" s="60" t="str">
        <f t="shared" si="12"/>
        <v>.cs-cleanup-excludecex</v>
      </c>
    </row>
    <row r="203" spans="1:99">
      <c r="A203" s="37" t="str">
        <f t="shared" si="9"/>
        <v>bookmaker-keep-together (bkt)</v>
      </c>
      <c r="C203" s="7" t="s">
        <v>419</v>
      </c>
      <c r="D203" s="7" t="s">
        <v>214</v>
      </c>
      <c r="E203" s="37" t="str">
        <f t="shared" si="14"/>
        <v>bookmaker-keep-together (bkt)</v>
      </c>
      <c r="F203" s="5">
        <v>2</v>
      </c>
      <c r="G203" s="5" t="b">
        <v>0</v>
      </c>
      <c r="H203" s="5">
        <v>2</v>
      </c>
      <c r="I203" s="5" t="s">
        <v>66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L203" s="5"/>
      <c r="AM203" s="5"/>
      <c r="AN203" s="5"/>
      <c r="AO203" s="6"/>
      <c r="AP203" s="5"/>
      <c r="AQ203" s="5"/>
      <c r="AR203" s="5"/>
      <c r="AS203" s="6"/>
      <c r="AT203" s="5"/>
      <c r="AU203" s="5"/>
      <c r="AV203" s="5"/>
      <c r="AW203" s="6"/>
      <c r="AX203" s="5"/>
      <c r="AY203" s="5"/>
      <c r="AZ203" s="5"/>
      <c r="BA203" s="6"/>
      <c r="BB203" s="5"/>
      <c r="BC203" s="5"/>
      <c r="BD203" s="5"/>
      <c r="BE203" s="5"/>
      <c r="BF203" s="5"/>
      <c r="BG203" s="5"/>
      <c r="BH203" s="6"/>
      <c r="BI203" s="6" t="s">
        <v>65</v>
      </c>
      <c r="BJ203" s="5">
        <v>0</v>
      </c>
      <c r="BK203" s="5">
        <v>0</v>
      </c>
      <c r="BL203" s="43" t="s">
        <v>668</v>
      </c>
      <c r="BM203" s="5" t="s">
        <v>69</v>
      </c>
      <c r="BN203" s="5"/>
      <c r="BO203" s="5" t="b">
        <v>0</v>
      </c>
      <c r="CU203" s="60" t="str">
        <f t="shared" ref="CU203:CU205" si="15">"."&amp;SUBSTITUTE(SUBSTITUTE(SUBSTITUTE(SUBSTITUTE(A203, "(",""),")","")," ",""),"#","")</f>
        <v>.bookmaker-keep-togetherbkt</v>
      </c>
    </row>
    <row r="204" spans="1:99">
      <c r="A204" s="37" t="str">
        <f t="shared" si="9"/>
        <v>bookmaker-loosen (bln)</v>
      </c>
      <c r="C204" s="7" t="s">
        <v>422</v>
      </c>
      <c r="D204" s="7" t="s">
        <v>423</v>
      </c>
      <c r="E204" s="37" t="str">
        <f t="shared" si="14"/>
        <v>bookmaker-loosen (bln)</v>
      </c>
      <c r="F204" s="5">
        <v>2</v>
      </c>
      <c r="G204" s="5" t="b">
        <v>0</v>
      </c>
      <c r="H204" s="5">
        <v>2</v>
      </c>
      <c r="I204" s="5" t="s">
        <v>66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L204" s="5"/>
      <c r="AM204" s="5"/>
      <c r="AN204" s="5"/>
      <c r="AO204" s="6"/>
      <c r="AP204" s="5"/>
      <c r="AQ204" s="5"/>
      <c r="AR204" s="5"/>
      <c r="AS204" s="6"/>
      <c r="AT204" s="5"/>
      <c r="AU204" s="5"/>
      <c r="AV204" s="5"/>
      <c r="AW204" s="6"/>
      <c r="AX204" s="5"/>
      <c r="AY204" s="5"/>
      <c r="AZ204" s="5"/>
      <c r="BA204" s="6"/>
      <c r="BB204" s="5"/>
      <c r="BC204" s="5"/>
      <c r="BD204" s="5"/>
      <c r="BE204" s="5"/>
      <c r="BF204" s="5"/>
      <c r="BG204" s="5"/>
      <c r="BH204" s="6"/>
      <c r="BI204" s="6" t="s">
        <v>65</v>
      </c>
      <c r="BJ204" s="5">
        <v>0</v>
      </c>
      <c r="BK204" s="5">
        <v>0</v>
      </c>
      <c r="BL204" s="43" t="s">
        <v>668</v>
      </c>
      <c r="BM204" s="5" t="s">
        <v>69</v>
      </c>
      <c r="BN204" s="5"/>
      <c r="BO204" s="5" t="b">
        <v>0</v>
      </c>
      <c r="CU204" s="60" t="str">
        <f t="shared" si="15"/>
        <v>.bookmaker-loosenbln</v>
      </c>
    </row>
    <row r="205" spans="1:99">
      <c r="A205" s="37" t="str">
        <f t="shared" si="9"/>
        <v>bookmaker-tighten (bti)</v>
      </c>
      <c r="C205" s="26" t="s">
        <v>420</v>
      </c>
      <c r="D205" s="35" t="s">
        <v>421</v>
      </c>
      <c r="E205" s="37" t="str">
        <f t="shared" si="14"/>
        <v>bookmaker-tighten (bti)</v>
      </c>
      <c r="F205" s="5">
        <v>2</v>
      </c>
      <c r="G205" s="5" t="b">
        <v>0</v>
      </c>
      <c r="H205" s="5">
        <v>2</v>
      </c>
      <c r="I205" s="5" t="s">
        <v>66</v>
      </c>
      <c r="J205" s="7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L205" s="5"/>
      <c r="AM205" s="5"/>
      <c r="AN205" s="5"/>
      <c r="AO205" s="6"/>
      <c r="AP205" s="5"/>
      <c r="AQ205" s="5"/>
      <c r="AR205" s="5"/>
      <c r="AS205" s="6"/>
      <c r="AT205" s="5"/>
      <c r="AU205" s="5"/>
      <c r="AV205" s="5"/>
      <c r="AW205" s="6"/>
      <c r="AX205" s="5"/>
      <c r="AY205" s="5"/>
      <c r="AZ205" s="5"/>
      <c r="BA205" s="6"/>
      <c r="BB205" s="5"/>
      <c r="BC205" s="5"/>
      <c r="BD205" s="5"/>
      <c r="BE205" s="5"/>
      <c r="BF205" s="5"/>
      <c r="BG205" s="5"/>
      <c r="BH205" s="6"/>
      <c r="BI205" s="6" t="s">
        <v>65</v>
      </c>
      <c r="BJ205" s="5">
        <v>0</v>
      </c>
      <c r="BK205" s="5">
        <v>0</v>
      </c>
      <c r="BL205" s="43" t="s">
        <v>668</v>
      </c>
      <c r="BM205" s="5" t="s">
        <v>69</v>
      </c>
      <c r="BN205" s="5"/>
      <c r="BO205" s="5" t="b">
        <v>0</v>
      </c>
      <c r="CU205" s="63" t="str">
        <f t="shared" si="15"/>
        <v>.bookmaker-tightenbti</v>
      </c>
    </row>
    <row r="206" spans="1:99">
      <c r="A206" s="37" t="str">
        <f>IF($D206="","",TRIM($C206)&amp;" "&amp;CHAR(40)&amp;TRIM($D206)&amp;CHAR(41))</f>
        <v>cs-isbn (isbn)</v>
      </c>
      <c r="C206" s="7" t="s">
        <v>737</v>
      </c>
      <c r="D206" s="7" t="s">
        <v>736</v>
      </c>
      <c r="E206" s="37" t="str">
        <f>IF($D206="","",TRIM($C206)&amp;" "&amp;CHAR(40)&amp;TRIM($D206)&amp;CHAR(41))</f>
        <v>cs-isbn (isbn)</v>
      </c>
      <c r="F206" s="59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42" t="s">
        <v>667</v>
      </c>
      <c r="BM206" s="5" t="s">
        <v>69</v>
      </c>
      <c r="BN206" s="5"/>
      <c r="BO206" s="5" t="b">
        <v>0</v>
      </c>
      <c r="CU206" s="63" t="str">
        <f t="shared" ref="CU206:CU211" si="16">SUBSTITUTE(SUBSTITUTE(SUBSTITUTE(SUBSTITUTE(A206, "(",""),")","")," ",""),"#","")</f>
        <v>cs-isbnisbn</v>
      </c>
    </row>
    <row r="207" spans="1:99">
      <c r="A207" s="37" t="str">
        <f t="shared" ref="A207" si="17">IF($D207="","",TRIM($C207)&amp;" "&amp;CHAR(40)&amp;TRIM($D207)&amp;CHAR(41))</f>
        <v/>
      </c>
      <c r="CU207" s="63" t="str">
        <f t="shared" si="16"/>
        <v/>
      </c>
    </row>
    <row r="208" spans="1:99">
      <c r="A208" s="37" t="str">
        <f>IF($D208="","",TRIM($C208)&amp;" "&amp;CHAR(40)&amp;TRIM($D208)&amp;CHAR(41))</f>
        <v/>
      </c>
      <c r="CU208" s="63" t="str">
        <f t="shared" si="16"/>
        <v/>
      </c>
    </row>
    <row r="209" spans="1:99">
      <c r="A209" s="37" t="str">
        <f t="shared" ref="A209:A212" si="18">IF($D209="","",TRIM($C209)&amp;" "&amp;CHAR(40)&amp;TRIM($D209)&amp;CHAR(41))</f>
        <v/>
      </c>
      <c r="CU209" s="63" t="str">
        <f t="shared" si="16"/>
        <v/>
      </c>
    </row>
    <row r="210" spans="1:99">
      <c r="A210" s="37" t="str">
        <f t="shared" si="18"/>
        <v/>
      </c>
      <c r="CU210" s="63" t="str">
        <f t="shared" si="16"/>
        <v/>
      </c>
    </row>
    <row r="211" spans="1:99">
      <c r="A211" s="37" t="str">
        <f t="shared" si="18"/>
        <v/>
      </c>
      <c r="CU211" s="63" t="str">
        <f t="shared" si="16"/>
        <v/>
      </c>
    </row>
    <row r="212" spans="1:99">
      <c r="A212" s="37" t="str">
        <f t="shared" si="18"/>
        <v/>
      </c>
      <c r="CU212" s="63" t="str">
        <f t="shared" ref="CU212:CU218" si="19">"."&amp;SUBSTITUTE(SUBSTITUTE(SUBSTITUTE(SUBSTITUTE(A212, "(",""),")","")," ",""),"#","")</f>
        <v>.</v>
      </c>
    </row>
    <row r="213" spans="1:99">
      <c r="A213" s="37" t="str">
        <f t="shared" ref="A213:A219" si="20">IF($D213="","",TRIM($C213)&amp;" "&amp;CHAR(40)&amp;TRIM($D213)&amp;CHAR(41))</f>
        <v/>
      </c>
      <c r="CU213" s="63" t="str">
        <f t="shared" si="19"/>
        <v>.</v>
      </c>
    </row>
    <row r="214" spans="1:99">
      <c r="A214" s="37" t="str">
        <f t="shared" si="20"/>
        <v/>
      </c>
      <c r="CU214" s="63" t="str">
        <f t="shared" si="19"/>
        <v>.</v>
      </c>
    </row>
    <row r="215" spans="1:99">
      <c r="A215" s="37" t="str">
        <f t="shared" si="20"/>
        <v/>
      </c>
      <c r="CU215" s="63" t="str">
        <f t="shared" si="19"/>
        <v>.</v>
      </c>
    </row>
    <row r="216" spans="1:99">
      <c r="A216" s="37" t="str">
        <f t="shared" si="20"/>
        <v/>
      </c>
      <c r="CU216" s="63" t="str">
        <f t="shared" si="19"/>
        <v>.</v>
      </c>
    </row>
    <row r="217" spans="1:99">
      <c r="A217" s="37" t="str">
        <f t="shared" si="20"/>
        <v/>
      </c>
      <c r="CU217" s="63" t="str">
        <f t="shared" si="19"/>
        <v>.</v>
      </c>
    </row>
    <row r="218" spans="1:99">
      <c r="A218" s="37" t="str">
        <f t="shared" si="20"/>
        <v/>
      </c>
      <c r="CU218" s="63" t="str">
        <f t="shared" si="19"/>
        <v>.</v>
      </c>
    </row>
    <row r="219" spans="1:99">
      <c r="A219" s="37" t="str">
        <f t="shared" si="20"/>
        <v/>
      </c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85:G205 G207:G1048576 G74:G137 G152 G69:G71 G140:G150 G154:G183 G5:G52 G56:G67">
    <cfRule type="containsText" dxfId="266" priority="226" operator="containsText" text="true">
      <formula>NOT(ISERROR(SEARCH("true",G1)))</formula>
    </cfRule>
  </conditionalFormatting>
  <conditionalFormatting sqref="D5:D10 D12:D16">
    <cfRule type="duplicateValues" dxfId="265" priority="222"/>
  </conditionalFormatting>
  <conditionalFormatting sqref="D11">
    <cfRule type="duplicateValues" dxfId="264" priority="221"/>
  </conditionalFormatting>
  <conditionalFormatting sqref="D17">
    <cfRule type="duplicateValues" dxfId="263" priority="220"/>
  </conditionalFormatting>
  <conditionalFormatting sqref="D23:D37 D18:D20">
    <cfRule type="duplicateValues" dxfId="262" priority="219"/>
  </conditionalFormatting>
  <conditionalFormatting sqref="D22">
    <cfRule type="duplicateValues" dxfId="261" priority="218"/>
  </conditionalFormatting>
  <conditionalFormatting sqref="AT158 AP152:AR152 AP150:AS150 AX150:AY150 R97:R137 AP158:AR158 BI4:CP4 A87:Y88 A93:Y95 A89:I92 K89:Y92 A96:I121 K96:Y121 AT91 AT69 AT93:AT98 AT125:AT127 AT74:AT89 AT140 A122:Y137 AT144 AT142 AU74:AU98 S74:V137 K74:Y86 A74:I86 A56:Y56 A152:Y152 AX152:AY152 AX154:AY156 AP154:AR155 CW28:CX28 CW5:CW20 CW22:CW27 CW29:CW37 BC155:CT156 AV157:CT157 AV177:CT177 BD150:CT154 BN185:CT188 AV184:CT184 A177:Y183 A185:Y205 AT38:CT54 AV74:CT137 G206:Y206 CR4:CT4 CV4:CW4 CV38:DB54 CV6:CV37 AB189:CT206 AB178:CT183 AB154:AM155 AB152:AM152 AB140:AR144 AB38:AR52 AB185:BH188 AB157:AT157 AB128:AT137 AB145:AT149 AB177:AT177 AB150:AM150 AB156:AR156 CV69:DB137 AB69:AR71 AU69:CT73 K69:Y71 A69:I71 AV140:CT149 A140:Y150 R162:R182 S162:V183 BI162:CT176 CV140:DB206 AT160:AT176 AV158:AY174 AR159:AR176 AU154:AU175 AZ159:AZ174 BD162:BH175 AB158:AN161 BC158:CT161 AP159:AQ175 BB162:BC176 AS158:AS175 BA158:BA175 AO158:AO175 A154:Y161 CU153:CU204 A162:AN176 AB74:AR127 A5:Y52 AB5:CT37 CU4:CU51 CY5:DB37 S56:V61 AT56:CT61 AU62:CT67 A57:I67 K57:Y67 AB56:AR67 CV56:DB67">
    <cfRule type="containsText" dxfId="260" priority="216" operator="containsText" text="true">
      <formula>NOT(ISERROR(SEARCH("true",A4)))</formula>
    </cfRule>
  </conditionalFormatting>
  <conditionalFormatting sqref="BD176:BH176 AV175:AZ175 AV176 AX176 AZ176">
    <cfRule type="containsText" dxfId="259" priority="213" operator="containsText" text="true">
      <formula>NOT(ISERROR(SEARCH("true",AV175)))</formula>
    </cfRule>
  </conditionalFormatting>
  <conditionalFormatting sqref="AN150:AO150 AN152:AO152 AN154:AO155">
    <cfRule type="containsText" dxfId="258" priority="211" operator="containsText" text="true">
      <formula>NOT(ISERROR(SEARCH("true",AN150)))</formula>
    </cfRule>
  </conditionalFormatting>
  <conditionalFormatting sqref="AV152 AV150:AW150 AV154:AV156">
    <cfRule type="containsText" dxfId="257" priority="210" operator="containsText" text="true">
      <formula>NOT(ISERROR(SEARCH("true",AV150)))</formula>
    </cfRule>
  </conditionalFormatting>
  <conditionalFormatting sqref="AZ152 AZ150:BA150 AZ154:AZ156">
    <cfRule type="containsText" dxfId="256" priority="209" operator="containsText" text="true">
      <formula>NOT(ISERROR(SEARCH("true",AZ150)))</formula>
    </cfRule>
  </conditionalFormatting>
  <conditionalFormatting sqref="BB155:BB156">
    <cfRule type="containsText" dxfId="255" priority="208" operator="containsText" text="true">
      <formula>NOT(ISERROR(SEARCH("true",BB155)))</formula>
    </cfRule>
  </conditionalFormatting>
  <conditionalFormatting sqref="AU125:AU137 AU152 AU140:AU150">
    <cfRule type="containsText" dxfId="254" priority="201" operator="containsText" text="true">
      <formula>NOT(ISERROR(SEARCH("true",AU125)))</formula>
    </cfRule>
  </conditionalFormatting>
  <conditionalFormatting sqref="AT62:AT67">
    <cfRule type="containsText" dxfId="253" priority="200" operator="containsText" text="true">
      <formula>NOT(ISERROR(SEARCH("true",AT62)))</formula>
    </cfRule>
  </conditionalFormatting>
  <conditionalFormatting sqref="AT90">
    <cfRule type="containsText" dxfId="252" priority="198" operator="containsText" text="true">
      <formula>NOT(ISERROR(SEARCH("true",AT90)))</formula>
    </cfRule>
  </conditionalFormatting>
  <conditionalFormatting sqref="AT92">
    <cfRule type="containsText" dxfId="251" priority="197" operator="containsText" text="true">
      <formula>NOT(ISERROR(SEARCH("true",AT92)))</formula>
    </cfRule>
  </conditionalFormatting>
  <conditionalFormatting sqref="AT141">
    <cfRule type="containsText" dxfId="250" priority="196" operator="containsText" text="true">
      <formula>NOT(ISERROR(SEARCH("true",AT141)))</formula>
    </cfRule>
  </conditionalFormatting>
  <conditionalFormatting sqref="AT143">
    <cfRule type="containsText" dxfId="249" priority="195" operator="containsText" text="true">
      <formula>NOT(ISERROR(SEARCH("true",AT143)))</formula>
    </cfRule>
  </conditionalFormatting>
  <conditionalFormatting sqref="AT159">
    <cfRule type="containsText" dxfId="248" priority="194" operator="containsText" text="true">
      <formula>NOT(ISERROR(SEARCH("true",AT159)))</formula>
    </cfRule>
  </conditionalFormatting>
  <conditionalFormatting sqref="AZ158">
    <cfRule type="containsText" dxfId="247" priority="179" operator="containsText" text="true">
      <formula>NOT(ISERROR(SEARCH("true",AZ158)))</formula>
    </cfRule>
  </conditionalFormatting>
  <conditionalFormatting sqref="AT150">
    <cfRule type="containsText" dxfId="246" priority="176" operator="containsText" text="true">
      <formula>NOT(ISERROR(SEARCH("true",AT150)))</formula>
    </cfRule>
  </conditionalFormatting>
  <conditionalFormatting sqref="AT152">
    <cfRule type="containsText" dxfId="245" priority="175" operator="containsText" text="true">
      <formula>NOT(ISERROR(SEARCH("true",AT152)))</formula>
    </cfRule>
  </conditionalFormatting>
  <conditionalFormatting sqref="AT154">
    <cfRule type="containsText" dxfId="244" priority="174" operator="containsText" text="true">
      <formula>NOT(ISERROR(SEARCH("true",AT154)))</formula>
    </cfRule>
  </conditionalFormatting>
  <conditionalFormatting sqref="AT155">
    <cfRule type="containsText" dxfId="243" priority="173" operator="containsText" text="true">
      <formula>NOT(ISERROR(SEARCH("true",AT155)))</formula>
    </cfRule>
  </conditionalFormatting>
  <conditionalFormatting sqref="AT156">
    <cfRule type="containsText" dxfId="242" priority="172" operator="containsText" text="true">
      <formula>NOT(ISERROR(SEARCH("true",AT156)))</formula>
    </cfRule>
  </conditionalFormatting>
  <conditionalFormatting sqref="AP176">
    <cfRule type="containsText" dxfId="241" priority="170" operator="containsText" text="true">
      <formula>NOT(ISERROR(SEARCH("true",AP176)))</formula>
    </cfRule>
  </conditionalFormatting>
  <conditionalFormatting sqref="AO176">
    <cfRule type="containsText" dxfId="240" priority="168" operator="containsText" text="true">
      <formula>NOT(ISERROR(SEARCH("true",AO176)))</formula>
    </cfRule>
  </conditionalFormatting>
  <conditionalFormatting sqref="AQ176">
    <cfRule type="containsText" dxfId="239" priority="157" operator="containsText" text="true">
      <formula>NOT(ISERROR(SEARCH("true",AQ176)))</formula>
    </cfRule>
  </conditionalFormatting>
  <conditionalFormatting sqref="AU176">
    <cfRule type="containsText" dxfId="238" priority="156" operator="containsText" text="true">
      <formula>NOT(ISERROR(SEARCH("true",AU176)))</formula>
    </cfRule>
  </conditionalFormatting>
  <conditionalFormatting sqref="AY176">
    <cfRule type="containsText" dxfId="237" priority="155" operator="containsText" text="true">
      <formula>NOT(ISERROR(SEARCH("true",AY176)))</formula>
    </cfRule>
  </conditionalFormatting>
  <conditionalFormatting sqref="BB158 BB160:BB161">
    <cfRule type="containsText" dxfId="236" priority="154" operator="containsText" text="true">
      <formula>NOT(ISERROR(SEARCH("true",BB158)))</formula>
    </cfRule>
  </conditionalFormatting>
  <conditionalFormatting sqref="BB159">
    <cfRule type="containsText" dxfId="235" priority="152" operator="containsText" text="true">
      <formula>NOT(ISERROR(SEARCH("true",BB159)))</formula>
    </cfRule>
  </conditionalFormatting>
  <conditionalFormatting sqref="BA176">
    <cfRule type="containsText" dxfId="234" priority="148" operator="containsText" text="true">
      <formula>NOT(ISERROR(SEARCH("true",BA176)))</formula>
    </cfRule>
  </conditionalFormatting>
  <conditionalFormatting sqref="AW176">
    <cfRule type="containsText" dxfId="233" priority="142" operator="containsText" text="true">
      <formula>NOT(ISERROR(SEARCH("true",AW176)))</formula>
    </cfRule>
  </conditionalFormatting>
  <conditionalFormatting sqref="AS176">
    <cfRule type="containsText" dxfId="232" priority="141" operator="containsText" text="true">
      <formula>NOT(ISERROR(SEARCH("true",AS176)))</formula>
    </cfRule>
  </conditionalFormatting>
  <conditionalFormatting sqref="AT99:AT124">
    <cfRule type="containsText" dxfId="231" priority="137" operator="containsText" text="true">
      <formula>NOT(ISERROR(SEARCH("true",AT99)))</formula>
    </cfRule>
  </conditionalFormatting>
  <conditionalFormatting sqref="AU99:AU124">
    <cfRule type="containsText" dxfId="230" priority="136" operator="containsText" text="true">
      <formula>NOT(ISERROR(SEARCH("true",AU99)))</formula>
    </cfRule>
  </conditionalFormatting>
  <conditionalFormatting sqref="BC150 BC152 BC154">
    <cfRule type="containsText" dxfId="229" priority="135" operator="containsText" text="true">
      <formula>NOT(ISERROR(SEARCH("true",BC150)))</formula>
    </cfRule>
  </conditionalFormatting>
  <conditionalFormatting sqref="BB150">
    <cfRule type="containsText" dxfId="228" priority="134" operator="containsText" text="true">
      <formula>NOT(ISERROR(SEARCH("true",BB150)))</formula>
    </cfRule>
  </conditionalFormatting>
  <conditionalFormatting sqref="BB152">
    <cfRule type="containsText" dxfId="227" priority="133" operator="containsText" text="true">
      <formula>NOT(ISERROR(SEARCH("true",BB152)))</formula>
    </cfRule>
  </conditionalFormatting>
  <conditionalFormatting sqref="BB154">
    <cfRule type="containsText" dxfId="226" priority="132" operator="containsText" text="true">
      <formula>NOT(ISERROR(SEARCH("true",BB154)))</formula>
    </cfRule>
  </conditionalFormatting>
  <conditionalFormatting sqref="G4">
    <cfRule type="containsText" dxfId="225" priority="131" operator="containsText" text="true">
      <formula>NOT(ISERROR(SEARCH("true",G4)))</formula>
    </cfRule>
  </conditionalFormatting>
  <conditionalFormatting sqref="D4">
    <cfRule type="duplicateValues" dxfId="224" priority="130"/>
  </conditionalFormatting>
  <conditionalFormatting sqref="AV4:BG4 A4:D4 N4:Y4 AM4:AT4 F4:L4 CY4:DB4 AB4:AK4">
    <cfRule type="containsText" dxfId="223" priority="129" operator="containsText" text="true">
      <formula>NOT(ISERROR(SEARCH("true",A4)))</formula>
    </cfRule>
  </conditionalFormatting>
  <conditionalFormatting sqref="AU4">
    <cfRule type="containsText" dxfId="222" priority="128" operator="containsText" text="true">
      <formula>NOT(ISERROR(SEARCH("true",AU4)))</formula>
    </cfRule>
  </conditionalFormatting>
  <conditionalFormatting sqref="AL4">
    <cfRule type="containsText" dxfId="221" priority="126" operator="containsText" text="true">
      <formula>NOT(ISERROR(SEARCH("true",AL4)))</formula>
    </cfRule>
  </conditionalFormatting>
  <conditionalFormatting sqref="BH4">
    <cfRule type="containsText" dxfId="220" priority="125" operator="containsText" text="true">
      <formula>NOT(ISERROR(SEARCH("true",BH4)))</formula>
    </cfRule>
  </conditionalFormatting>
  <conditionalFormatting sqref="CQ4">
    <cfRule type="containsText" dxfId="219" priority="124" operator="containsText" text="true">
      <formula>NOT(ISERROR(SEARCH("true",CQ4)))</formula>
    </cfRule>
  </conditionalFormatting>
  <conditionalFormatting sqref="E4">
    <cfRule type="containsText" dxfId="218" priority="123" operator="containsText" text="true">
      <formula>NOT(ISERROR(SEARCH("true",E4)))</formula>
    </cfRule>
  </conditionalFormatting>
  <conditionalFormatting sqref="M4">
    <cfRule type="containsText" dxfId="217" priority="122" operator="containsText" text="true">
      <formula>NOT(ISERROR(SEARCH("true",M4)))</formula>
    </cfRule>
  </conditionalFormatting>
  <conditionalFormatting sqref="G184">
    <cfRule type="containsText" dxfId="216" priority="121" operator="containsText" text="true">
      <formula>NOT(ISERROR(SEARCH("true",G184)))</formula>
    </cfRule>
  </conditionalFormatting>
  <conditionalFormatting sqref="A184:E184 G184:Y184 AB184:AT184">
    <cfRule type="containsText" dxfId="215" priority="120" operator="containsText" text="true">
      <formula>NOT(ISERROR(SEARCH("true",A184)))</formula>
    </cfRule>
  </conditionalFormatting>
  <conditionalFormatting sqref="BI185:BM187">
    <cfRule type="containsText" dxfId="214" priority="115" operator="containsText" text="true">
      <formula>NOT(ISERROR(SEARCH("true",BI185)))</formula>
    </cfRule>
  </conditionalFormatting>
  <conditionalFormatting sqref="BI188:BM188">
    <cfRule type="containsText" dxfId="213" priority="114" operator="containsText" text="true">
      <formula>NOT(ISERROR(SEARCH("true",BI188)))</formula>
    </cfRule>
  </conditionalFormatting>
  <conditionalFormatting sqref="G206">
    <cfRule type="containsText" dxfId="212" priority="112" operator="containsText" text="true">
      <formula>NOT(ISERROR(SEARCH("true",G206)))</formula>
    </cfRule>
  </conditionalFormatting>
  <conditionalFormatting sqref="A206:E206">
    <cfRule type="containsText" dxfId="211" priority="111" operator="containsText" text="true">
      <formula>NOT(ISERROR(SEARCH("true",A206)))</formula>
    </cfRule>
  </conditionalFormatting>
  <conditionalFormatting sqref="F184">
    <cfRule type="containsText" dxfId="210" priority="110" operator="containsText" text="true">
      <formula>NOT(ISERROR(SEARCH("true",F184)))</formula>
    </cfRule>
  </conditionalFormatting>
  <conditionalFormatting sqref="F206">
    <cfRule type="containsText" dxfId="209" priority="109" operator="containsText" text="true">
      <formula>NOT(ISERROR(SEARCH("true",F206)))</formula>
    </cfRule>
  </conditionalFormatting>
  <conditionalFormatting sqref="D207:D1048576 D1:D3">
    <cfRule type="duplicateValues" dxfId="208" priority="233"/>
  </conditionalFormatting>
  <conditionalFormatting sqref="J74:J86 J69:J71 J57:J67">
    <cfRule type="containsText" dxfId="207" priority="108" operator="containsText" text="true">
      <formula>NOT(ISERROR(SEARCH("true",J57)))</formula>
    </cfRule>
  </conditionalFormatting>
  <conditionalFormatting sqref="J89:J92">
    <cfRule type="containsText" dxfId="206" priority="107" operator="containsText" text="true">
      <formula>NOT(ISERROR(SEARCH("true",J89)))</formula>
    </cfRule>
  </conditionalFormatting>
  <conditionalFormatting sqref="J96:J121">
    <cfRule type="containsText" dxfId="205" priority="106" operator="containsText" text="true">
      <formula>NOT(ISERROR(SEARCH("true",J96)))</formula>
    </cfRule>
  </conditionalFormatting>
  <conditionalFormatting sqref="AS38:AS52 AS74:AS127 AS69:AS71 AS56:AS67">
    <cfRule type="containsText" dxfId="204" priority="105" operator="containsText" text="true">
      <formula>NOT(ISERROR(SEARCH("true",AS38)))</formula>
    </cfRule>
  </conditionalFormatting>
  <conditionalFormatting sqref="AS140:AS144">
    <cfRule type="containsText" dxfId="203" priority="104" operator="containsText" text="true">
      <formula>NOT(ISERROR(SEARCH("true",AS140)))</formula>
    </cfRule>
  </conditionalFormatting>
  <conditionalFormatting sqref="G72">
    <cfRule type="containsText" dxfId="202" priority="103" operator="containsText" text="true">
      <formula>NOT(ISERROR(SEARCH("true",G72)))</formula>
    </cfRule>
  </conditionalFormatting>
  <conditionalFormatting sqref="A72:I72 K72:Y72 AB72:AR72">
    <cfRule type="containsText" dxfId="201" priority="102" operator="containsText" text="true">
      <formula>NOT(ISERROR(SEARCH("true",A72)))</formula>
    </cfRule>
  </conditionalFormatting>
  <conditionalFormatting sqref="J72">
    <cfRule type="containsText" dxfId="200" priority="100" operator="containsText" text="true">
      <formula>NOT(ISERROR(SEARCH("true",J72)))</formula>
    </cfRule>
  </conditionalFormatting>
  <conditionalFormatting sqref="AS72">
    <cfRule type="containsText" dxfId="199" priority="99" operator="containsText" text="true">
      <formula>NOT(ISERROR(SEARCH("true",AS72)))</formula>
    </cfRule>
  </conditionalFormatting>
  <conditionalFormatting sqref="G73">
    <cfRule type="containsText" dxfId="198" priority="98" operator="containsText" text="true">
      <formula>NOT(ISERROR(SEARCH("true",G73)))</formula>
    </cfRule>
  </conditionalFormatting>
  <conditionalFormatting sqref="A73:I73 K73:Y73 AB73:AR73">
    <cfRule type="containsText" dxfId="197" priority="97" operator="containsText" text="true">
      <formula>NOT(ISERROR(SEARCH("true",A73)))</formula>
    </cfRule>
  </conditionalFormatting>
  <conditionalFormatting sqref="J73">
    <cfRule type="containsText" dxfId="196" priority="95" operator="containsText" text="true">
      <formula>NOT(ISERROR(SEARCH("true",J73)))</formula>
    </cfRule>
  </conditionalFormatting>
  <conditionalFormatting sqref="AS73">
    <cfRule type="containsText" dxfId="195" priority="94" operator="containsText" text="true">
      <formula>NOT(ISERROR(SEARCH("true",AS73)))</formula>
    </cfRule>
  </conditionalFormatting>
  <conditionalFormatting sqref="G53">
    <cfRule type="containsText" dxfId="194" priority="93" operator="containsText" text="true">
      <formula>NOT(ISERROR(SEARCH("true",G53)))</formula>
    </cfRule>
  </conditionalFormatting>
  <conditionalFormatting sqref="A53:Y53 AB53:AR53">
    <cfRule type="containsText" dxfId="193" priority="92" operator="containsText" text="true">
      <formula>NOT(ISERROR(SEARCH("true",A53)))</formula>
    </cfRule>
  </conditionalFormatting>
  <conditionalFormatting sqref="AS53">
    <cfRule type="containsText" dxfId="192" priority="91" operator="containsText" text="true">
      <formula>NOT(ISERROR(SEARCH("true",AS53)))</formula>
    </cfRule>
  </conditionalFormatting>
  <conditionalFormatting sqref="G54">
    <cfRule type="containsText" dxfId="191" priority="90" operator="containsText" text="true">
      <formula>NOT(ISERROR(SEARCH("true",G54)))</formula>
    </cfRule>
  </conditionalFormatting>
  <conditionalFormatting sqref="A54:H54 J54:Y54 AB54:AR54">
    <cfRule type="containsText" dxfId="190" priority="89" operator="containsText" text="true">
      <formula>NOT(ISERROR(SEARCH("true",A54)))</formula>
    </cfRule>
  </conditionalFormatting>
  <conditionalFormatting sqref="AS54">
    <cfRule type="containsText" dxfId="189" priority="88" operator="containsText" text="true">
      <formula>NOT(ISERROR(SEARCH("true",AS54)))</formula>
    </cfRule>
  </conditionalFormatting>
  <conditionalFormatting sqref="G151">
    <cfRule type="containsText" dxfId="188" priority="87" operator="containsText" text="true">
      <formula>NOT(ISERROR(SEARCH("true",G151)))</formula>
    </cfRule>
  </conditionalFormatting>
  <conditionalFormatting sqref="AP151:AS151 AX151:AY151 A151:Y151 AB151:AM151">
    <cfRule type="containsText" dxfId="187" priority="86" operator="containsText" text="true">
      <formula>NOT(ISERROR(SEARCH("true",A151)))</formula>
    </cfRule>
  </conditionalFormatting>
  <conditionalFormatting sqref="AN151:AO151">
    <cfRule type="containsText" dxfId="186" priority="85" operator="containsText" text="true">
      <formula>NOT(ISERROR(SEARCH("true",AN151)))</formula>
    </cfRule>
  </conditionalFormatting>
  <conditionalFormatting sqref="AV151:AW151">
    <cfRule type="containsText" dxfId="185" priority="84" operator="containsText" text="true">
      <formula>NOT(ISERROR(SEARCH("true",AV151)))</formula>
    </cfRule>
  </conditionalFormatting>
  <conditionalFormatting sqref="AZ151:BA151">
    <cfRule type="containsText" dxfId="184" priority="83" operator="containsText" text="true">
      <formula>NOT(ISERROR(SEARCH("true",AZ151)))</formula>
    </cfRule>
  </conditionalFormatting>
  <conditionalFormatting sqref="AU151">
    <cfRule type="containsText" dxfId="183" priority="82" operator="containsText" text="true">
      <formula>NOT(ISERROR(SEARCH("true",AU151)))</formula>
    </cfRule>
  </conditionalFormatting>
  <conditionalFormatting sqref="AT151">
    <cfRule type="containsText" dxfId="182" priority="81" operator="containsText" text="true">
      <formula>NOT(ISERROR(SEARCH("true",AT151)))</formula>
    </cfRule>
  </conditionalFormatting>
  <conditionalFormatting sqref="BC151">
    <cfRule type="containsText" dxfId="181" priority="80" operator="containsText" text="true">
      <formula>NOT(ISERROR(SEARCH("true",BC151)))</formula>
    </cfRule>
  </conditionalFormatting>
  <conditionalFormatting sqref="BB151">
    <cfRule type="containsText" dxfId="180" priority="79" operator="containsText" text="true">
      <formula>NOT(ISERROR(SEARCH("true",BB151)))</formula>
    </cfRule>
  </conditionalFormatting>
  <conditionalFormatting sqref="G153">
    <cfRule type="containsText" dxfId="179" priority="78" operator="containsText" text="true">
      <formula>NOT(ISERROR(SEARCH("true",G153)))</formula>
    </cfRule>
  </conditionalFormatting>
  <conditionalFormatting sqref="AP153:AR153 A153:Y153 AX153:AY153 AB153:AM153">
    <cfRule type="containsText" dxfId="178" priority="77" operator="containsText" text="true">
      <formula>NOT(ISERROR(SEARCH("true",A153)))</formula>
    </cfRule>
  </conditionalFormatting>
  <conditionalFormatting sqref="AN153:AO153">
    <cfRule type="containsText" dxfId="177" priority="76" operator="containsText" text="true">
      <formula>NOT(ISERROR(SEARCH("true",AN153)))</formula>
    </cfRule>
  </conditionalFormatting>
  <conditionalFormatting sqref="AV153">
    <cfRule type="containsText" dxfId="176" priority="75" operator="containsText" text="true">
      <formula>NOT(ISERROR(SEARCH("true",AV153)))</formula>
    </cfRule>
  </conditionalFormatting>
  <conditionalFormatting sqref="AZ153">
    <cfRule type="containsText" dxfId="175" priority="74" operator="containsText" text="true">
      <formula>NOT(ISERROR(SEARCH("true",AZ153)))</formula>
    </cfRule>
  </conditionalFormatting>
  <conditionalFormatting sqref="AU153">
    <cfRule type="containsText" dxfId="174" priority="73" operator="containsText" text="true">
      <formula>NOT(ISERROR(SEARCH("true",AU153)))</formula>
    </cfRule>
  </conditionalFormatting>
  <conditionalFormatting sqref="AT153">
    <cfRule type="containsText" dxfId="173" priority="72" operator="containsText" text="true">
      <formula>NOT(ISERROR(SEARCH("true",AT153)))</formula>
    </cfRule>
  </conditionalFormatting>
  <conditionalFormatting sqref="BC153">
    <cfRule type="containsText" dxfId="172" priority="71" operator="containsText" text="true">
      <formula>NOT(ISERROR(SEARCH("true",BC153)))</formula>
    </cfRule>
  </conditionalFormatting>
  <conditionalFormatting sqref="BB153">
    <cfRule type="containsText" dxfId="171" priority="70" operator="containsText" text="true">
      <formula>NOT(ISERROR(SEARCH("true",BB153)))</formula>
    </cfRule>
  </conditionalFormatting>
  <conditionalFormatting sqref="AT70 AT72:AT73">
    <cfRule type="containsText" dxfId="170" priority="69" operator="containsText" text="true">
      <formula>NOT(ISERROR(SEARCH("true",AT70)))</formula>
    </cfRule>
  </conditionalFormatting>
  <conditionalFormatting sqref="AT71">
    <cfRule type="containsText" dxfId="169" priority="68" operator="containsText" text="true">
      <formula>NOT(ISERROR(SEARCH("true",AT71)))</formula>
    </cfRule>
  </conditionalFormatting>
  <conditionalFormatting sqref="CW21">
    <cfRule type="containsText" dxfId="168" priority="67" operator="containsText" text="true">
      <formula>NOT(ISERROR(SEARCH("true",CW21)))</formula>
    </cfRule>
  </conditionalFormatting>
  <conditionalFormatting sqref="CU73:CU137 CU54 CU151 CU69:CU70 CU140:CU149 CU56:CU67">
    <cfRule type="containsText" dxfId="167" priority="66" operator="containsText" text="true">
      <formula>NOT(ISERROR(SEARCH("true",CU54)))</formula>
    </cfRule>
  </conditionalFormatting>
  <conditionalFormatting sqref="CU205">
    <cfRule type="containsText" dxfId="166" priority="65" operator="containsText" text="true">
      <formula>NOT(ISERROR(SEARCH("true",CU205)))</formula>
    </cfRule>
  </conditionalFormatting>
  <conditionalFormatting sqref="CU71">
    <cfRule type="containsText" dxfId="165" priority="64" operator="containsText" text="true">
      <formula>NOT(ISERROR(SEARCH("true",CU71)))</formula>
    </cfRule>
  </conditionalFormatting>
  <conditionalFormatting sqref="CU72">
    <cfRule type="containsText" dxfId="164" priority="63" operator="containsText" text="true">
      <formula>NOT(ISERROR(SEARCH("true",CU72)))</formula>
    </cfRule>
  </conditionalFormatting>
  <conditionalFormatting sqref="CU52">
    <cfRule type="containsText" dxfId="163" priority="62" operator="containsText" text="true">
      <formula>NOT(ISERROR(SEARCH("true",CU52)))</formula>
    </cfRule>
  </conditionalFormatting>
  <conditionalFormatting sqref="CU53">
    <cfRule type="containsText" dxfId="162" priority="61" operator="containsText" text="true">
      <formula>NOT(ISERROR(SEARCH("true",CU53)))</formula>
    </cfRule>
  </conditionalFormatting>
  <conditionalFormatting sqref="CU150">
    <cfRule type="containsText" dxfId="161" priority="60" operator="containsText" text="true">
      <formula>NOT(ISERROR(SEARCH("true",CU150)))</formula>
    </cfRule>
  </conditionalFormatting>
  <conditionalFormatting sqref="CU152">
    <cfRule type="containsText" dxfId="160" priority="59" operator="containsText" text="true">
      <formula>NOT(ISERROR(SEARCH("true",CU152)))</formula>
    </cfRule>
  </conditionalFormatting>
  <conditionalFormatting sqref="D21">
    <cfRule type="duplicateValues" dxfId="159" priority="237"/>
  </conditionalFormatting>
  <conditionalFormatting sqref="I54">
    <cfRule type="containsText" dxfId="158" priority="58" operator="containsText" text="true">
      <formula>NOT(ISERROR(SEARCH("true",I54)))</formula>
    </cfRule>
  </conditionalFormatting>
  <conditionalFormatting sqref="Z74:Z137 Z152 Z154:Z161 Z177:Z183 Z185:Z206 Z69:Z71 Z140:Z150 Z5:Z52 Z56:Z67">
    <cfRule type="containsText" dxfId="157" priority="57" operator="containsText" text="true">
      <formula>NOT(ISERROR(SEARCH("true",Z5)))</formula>
    </cfRule>
  </conditionalFormatting>
  <conditionalFormatting sqref="Z4">
    <cfRule type="containsText" dxfId="156" priority="55" operator="containsText" text="true">
      <formula>NOT(ISERROR(SEARCH("true",Z4)))</formula>
    </cfRule>
  </conditionalFormatting>
  <conditionalFormatting sqref="Z184">
    <cfRule type="containsText" dxfId="155" priority="54" operator="containsText" text="true">
      <formula>NOT(ISERROR(SEARCH("true",Z184)))</formula>
    </cfRule>
  </conditionalFormatting>
  <conditionalFormatting sqref="Z72">
    <cfRule type="containsText" dxfId="154" priority="53" operator="containsText" text="true">
      <formula>NOT(ISERROR(SEARCH("true",Z72)))</formula>
    </cfRule>
  </conditionalFormatting>
  <conditionalFormatting sqref="Z73">
    <cfRule type="containsText" dxfId="153" priority="52" operator="containsText" text="true">
      <formula>NOT(ISERROR(SEARCH("true",Z73)))</formula>
    </cfRule>
  </conditionalFormatting>
  <conditionalFormatting sqref="Z53">
    <cfRule type="containsText" dxfId="152" priority="51" operator="containsText" text="true">
      <formula>NOT(ISERROR(SEARCH("true",Z53)))</formula>
    </cfRule>
  </conditionalFormatting>
  <conditionalFormatting sqref="Z54">
    <cfRule type="containsText" dxfId="151" priority="50" operator="containsText" text="true">
      <formula>NOT(ISERROR(SEARCH("true",Z54)))</formula>
    </cfRule>
  </conditionalFormatting>
  <conditionalFormatting sqref="Z151">
    <cfRule type="containsText" dxfId="150" priority="49" operator="containsText" text="true">
      <formula>NOT(ISERROR(SEARCH("true",Z151)))</formula>
    </cfRule>
  </conditionalFormatting>
  <conditionalFormatting sqref="Z153">
    <cfRule type="containsText" dxfId="149" priority="48" operator="containsText" text="true">
      <formula>NOT(ISERROR(SEARCH("true",Z153)))</formula>
    </cfRule>
  </conditionalFormatting>
  <conditionalFormatting sqref="AA74:AA137 AA152 AA154:AA161 AA177:AA183 AA185:AA206 AA69:AA71 AA140:AA150 AA5:AA52 AA56:AA67">
    <cfRule type="containsText" dxfId="148" priority="47" operator="containsText" text="true">
      <formula>NOT(ISERROR(SEARCH("true",AA5)))</formula>
    </cfRule>
  </conditionalFormatting>
  <conditionalFormatting sqref="AA4">
    <cfRule type="containsText" dxfId="147" priority="45" operator="containsText" text="true">
      <formula>NOT(ISERROR(SEARCH("true",AA4)))</formula>
    </cfRule>
  </conditionalFormatting>
  <conditionalFormatting sqref="AA184">
    <cfRule type="containsText" dxfId="146" priority="44" operator="containsText" text="true">
      <formula>NOT(ISERROR(SEARCH("true",AA184)))</formula>
    </cfRule>
  </conditionalFormatting>
  <conditionalFormatting sqref="AA72">
    <cfRule type="containsText" dxfId="145" priority="43" operator="containsText" text="true">
      <formula>NOT(ISERROR(SEARCH("true",AA72)))</formula>
    </cfRule>
  </conditionalFormatting>
  <conditionalFormatting sqref="AA73">
    <cfRule type="containsText" dxfId="144" priority="42" operator="containsText" text="true">
      <formula>NOT(ISERROR(SEARCH("true",AA73)))</formula>
    </cfRule>
  </conditionalFormatting>
  <conditionalFormatting sqref="AA53">
    <cfRule type="containsText" dxfId="143" priority="41" operator="containsText" text="true">
      <formula>NOT(ISERROR(SEARCH("true",AA53)))</formula>
    </cfRule>
  </conditionalFormatting>
  <conditionalFormatting sqref="AA54">
    <cfRule type="containsText" dxfId="142" priority="40" operator="containsText" text="true">
      <formula>NOT(ISERROR(SEARCH("true",AA54)))</formula>
    </cfRule>
  </conditionalFormatting>
  <conditionalFormatting sqref="AA151">
    <cfRule type="containsText" dxfId="141" priority="39" operator="containsText" text="true">
      <formula>NOT(ISERROR(SEARCH("true",AA151)))</formula>
    </cfRule>
  </conditionalFormatting>
  <conditionalFormatting sqref="AA153">
    <cfRule type="containsText" dxfId="140" priority="38" operator="containsText" text="true">
      <formula>NOT(ISERROR(SEARCH("true",AA153)))</formula>
    </cfRule>
  </conditionalFormatting>
  <conditionalFormatting sqref="G55">
    <cfRule type="containsText" dxfId="139" priority="37" operator="containsText" text="true">
      <formula>NOT(ISERROR(SEARCH("true",G55)))</formula>
    </cfRule>
  </conditionalFormatting>
  <conditionalFormatting sqref="A55:Y55 AV55:CT55 AB55:AR55 CV55:DB55">
    <cfRule type="containsText" dxfId="138" priority="36" operator="containsText" text="true">
      <formula>NOT(ISERROR(SEARCH("true",A55)))</formula>
    </cfRule>
  </conditionalFormatting>
  <conditionalFormatting sqref="AT55">
    <cfRule type="containsText" dxfId="137" priority="35" operator="containsText" text="true">
      <formula>NOT(ISERROR(SEARCH("true",AT55)))</formula>
    </cfRule>
  </conditionalFormatting>
  <conditionalFormatting sqref="AU55">
    <cfRule type="containsText" dxfId="136" priority="34" operator="containsText" text="true">
      <formula>NOT(ISERROR(SEARCH("true",AU55)))</formula>
    </cfRule>
  </conditionalFormatting>
  <conditionalFormatting sqref="AS55">
    <cfRule type="containsText" dxfId="135" priority="33" operator="containsText" text="true">
      <formula>NOT(ISERROR(SEARCH("true",AS55)))</formula>
    </cfRule>
  </conditionalFormatting>
  <conditionalFormatting sqref="CU55">
    <cfRule type="containsText" dxfId="134" priority="32" operator="containsText" text="true">
      <formula>NOT(ISERROR(SEARCH("true",CU55)))</formula>
    </cfRule>
  </conditionalFormatting>
  <conditionalFormatting sqref="Z55">
    <cfRule type="containsText" dxfId="133" priority="31" operator="containsText" text="true">
      <formula>NOT(ISERROR(SEARCH("true",Z55)))</formula>
    </cfRule>
  </conditionalFormatting>
  <conditionalFormatting sqref="AA55">
    <cfRule type="containsText" dxfId="132" priority="30" operator="containsText" text="true">
      <formula>NOT(ISERROR(SEARCH("true",AA55)))</formula>
    </cfRule>
  </conditionalFormatting>
  <conditionalFormatting sqref="G68">
    <cfRule type="containsText" dxfId="131" priority="29" operator="containsText" text="true">
      <formula>NOT(ISERROR(SEARCH("true",G68)))</formula>
    </cfRule>
  </conditionalFormatting>
  <conditionalFormatting sqref="K68:Y68 A68:I68 AT68:CT68 AB68:AR68 CV68:DB68">
    <cfRule type="containsText" dxfId="130" priority="28" operator="containsText" text="true">
      <formula>NOT(ISERROR(SEARCH("true",A68)))</formula>
    </cfRule>
  </conditionalFormatting>
  <conditionalFormatting sqref="J68">
    <cfRule type="containsText" dxfId="129" priority="27" operator="containsText" text="true">
      <formula>NOT(ISERROR(SEARCH("true",J68)))</formula>
    </cfRule>
  </conditionalFormatting>
  <conditionalFormatting sqref="AS68">
    <cfRule type="containsText" dxfId="128" priority="26" operator="containsText" text="true">
      <formula>NOT(ISERROR(SEARCH("true",AS68)))</formula>
    </cfRule>
  </conditionalFormatting>
  <conditionalFormatting sqref="CU68">
    <cfRule type="containsText" dxfId="127" priority="25" operator="containsText" text="true">
      <formula>NOT(ISERROR(SEARCH("true",CU68)))</formula>
    </cfRule>
  </conditionalFormatting>
  <conditionalFormatting sqref="Z68">
    <cfRule type="containsText" dxfId="126" priority="24" operator="containsText" text="true">
      <formula>NOT(ISERROR(SEARCH("true",Z68)))</formula>
    </cfRule>
  </conditionalFormatting>
  <conditionalFormatting sqref="AA68">
    <cfRule type="containsText" dxfId="125" priority="23" operator="containsText" text="true">
      <formula>NOT(ISERROR(SEARCH("true",AA68)))</formula>
    </cfRule>
  </conditionalFormatting>
  <conditionalFormatting sqref="G138">
    <cfRule type="containsText" dxfId="124" priority="15" operator="containsText" text="true">
      <formula>NOT(ISERROR(SEARCH("true",G138)))</formula>
    </cfRule>
  </conditionalFormatting>
  <conditionalFormatting sqref="AT138 AB138:AR138 CV138:DB138 AV138:CT138 A138:Y138">
    <cfRule type="containsText" dxfId="123" priority="14" operator="containsText" text="true">
      <formula>NOT(ISERROR(SEARCH("true",A138)))</formula>
    </cfRule>
  </conditionalFormatting>
  <conditionalFormatting sqref="AU138">
    <cfRule type="containsText" dxfId="122" priority="13" operator="containsText" text="true">
      <formula>NOT(ISERROR(SEARCH("true",AU138)))</formula>
    </cfRule>
  </conditionalFormatting>
  <conditionalFormatting sqref="AS138">
    <cfRule type="containsText" dxfId="121" priority="12" operator="containsText" text="true">
      <formula>NOT(ISERROR(SEARCH("true",AS138)))</formula>
    </cfRule>
  </conditionalFormatting>
  <conditionalFormatting sqref="CU138">
    <cfRule type="containsText" dxfId="120" priority="11" operator="containsText" text="true">
      <formula>NOT(ISERROR(SEARCH("true",CU138)))</formula>
    </cfRule>
  </conditionalFormatting>
  <conditionalFormatting sqref="Z138">
    <cfRule type="containsText" dxfId="119" priority="10" operator="containsText" text="true">
      <formula>NOT(ISERROR(SEARCH("true",Z138)))</formula>
    </cfRule>
  </conditionalFormatting>
  <conditionalFormatting sqref="AA138">
    <cfRule type="containsText" dxfId="118" priority="9" operator="containsText" text="true">
      <formula>NOT(ISERROR(SEARCH("true",AA138)))</formula>
    </cfRule>
  </conditionalFormatting>
  <conditionalFormatting sqref="G139">
    <cfRule type="containsText" dxfId="117" priority="8" operator="containsText" text="true">
      <formula>NOT(ISERROR(SEARCH("true",G139)))</formula>
    </cfRule>
  </conditionalFormatting>
  <conditionalFormatting sqref="AB139:AR139 AV139:CT139 A139:Y139 CV139:DB139">
    <cfRule type="containsText" dxfId="116" priority="7" operator="containsText" text="true">
      <formula>NOT(ISERROR(SEARCH("true",A139)))</formula>
    </cfRule>
  </conditionalFormatting>
  <conditionalFormatting sqref="AU139">
    <cfRule type="containsText" dxfId="115" priority="6" operator="containsText" text="true">
      <formula>NOT(ISERROR(SEARCH("true",AU139)))</formula>
    </cfRule>
  </conditionalFormatting>
  <conditionalFormatting sqref="AT139">
    <cfRule type="containsText" dxfId="114" priority="5" operator="containsText" text="true">
      <formula>NOT(ISERROR(SEARCH("true",AT139)))</formula>
    </cfRule>
  </conditionalFormatting>
  <conditionalFormatting sqref="AS139">
    <cfRule type="containsText" dxfId="113" priority="4" operator="containsText" text="true">
      <formula>NOT(ISERROR(SEARCH("true",AS139)))</formula>
    </cfRule>
  </conditionalFormatting>
  <conditionalFormatting sqref="CU139">
    <cfRule type="containsText" dxfId="112" priority="3" operator="containsText" text="true">
      <formula>NOT(ISERROR(SEARCH("true",CU139)))</formula>
    </cfRule>
  </conditionalFormatting>
  <conditionalFormatting sqref="Z139">
    <cfRule type="containsText" dxfId="111" priority="2" operator="containsText" text="true">
      <formula>NOT(ISERROR(SEARCH("true",Z139)))</formula>
    </cfRule>
  </conditionalFormatting>
  <conditionalFormatting sqref="AA139">
    <cfRule type="containsText" dxfId="110" priority="1" operator="containsText" text="true">
      <formula>NOT(ISERROR(SEARCH("true",AA139)))</formula>
    </cfRule>
  </conditionalFormatting>
  <dataValidations count="10">
    <dataValidation type="decimal" operator="greaterThanOrEqual" allowBlank="1" showInputMessage="1" showErrorMessage="1" sqref="AJ220:AJ342 AC4:AF342 AH4:AH342 J4:J342 BD4:BG342" xr:uid="{00000000-0002-0000-0000-000001000000}">
      <formula1>0</formula1>
    </dataValidation>
    <dataValidation type="whole" allowBlank="1" showInputMessage="1" showErrorMessage="1" sqref="H4:H342" xr:uid="{00000000-0002-0000-0000-000000000000}">
      <formula1>1</formula1>
      <formula2>2</formula2>
    </dataValidation>
    <dataValidation type="whole" allowBlank="1" showInputMessage="1" showErrorMessage="1" sqref="AK4:AK342" xr:uid="{00000000-0002-0000-0000-000002000000}">
      <formula1>1</formula1>
      <formula2>10</formula2>
    </dataValidation>
    <dataValidation type="whole" allowBlank="1" showInputMessage="1" showErrorMessage="1" sqref="AP4:AP342 AT4:AT342 AX4:AX342 BB4:BB342 BJ4:BJ342" xr:uid="{00000000-0002-0000-0000-000003000000}">
      <formula1>0</formula1>
      <formula2>24</formula2>
    </dataValidation>
    <dataValidation type="whole" allowBlank="1" showInputMessage="1" showErrorMessage="1" sqref="AI4:AI342 BN4:BN342" xr:uid="{00000000-0002-0000-0000-000004000000}">
      <formula1>0</formula1>
      <formula2>9</formula2>
    </dataValidation>
    <dataValidation type="whole" allowBlank="1" showInputMessage="1" showErrorMessage="1" sqref="AG4:AG342" xr:uid="{00000000-0002-0000-0000-000005000000}">
      <formula1>0</formula1>
      <formula2>5</formula2>
    </dataValidation>
    <dataValidation type="decimal" operator="greaterThanOrEqual" allowBlank="1" showInputMessage="1" showErrorMessage="1" sqref="F4:F342" xr:uid="{00000000-0002-0000-0000-000006000000}">
      <formula1>1</formula1>
    </dataValidation>
    <dataValidation type="list" allowBlank="1" showInputMessage="1" showErrorMessage="1" sqref="E4:E342" xr:uid="{00000000-0002-0000-0000-000008000000}">
      <formula1>$A$4:$A$242</formula1>
    </dataValidation>
    <dataValidation type="whole" operator="greaterThanOrEqual" allowBlank="1" showInputMessage="1" showErrorMessage="1" sqref="AJ4:AJ219" xr:uid="{B0B3304B-5FC4-4CD4-92E5-1CA929882700}">
      <formula1>-72</formula1>
    </dataValidation>
    <dataValidation type="custom" allowBlank="1" showInputMessage="1" showErrorMessage="1" sqref="C4:D342 A4:A342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N4:V342 CS4:CS342 CA4:CP342 BU4:BY342 G4:G342 K4:L342 X4:AB342 AL4:AM342 AR4:AR342 BO4:BO342 DB4:DB342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AQ4:AQ342 AU4:AU342 AY4:AY342 BC4:BC342 BK4:BK342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BM4:BM342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W4:W342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2021-04-16T15:13:40Z</dcterms:modified>
</cp:coreProperties>
</file>