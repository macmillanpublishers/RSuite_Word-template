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15CE3454-DD1C-4D23-BE07-3D0594B12E1F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91" i="1" l="1"/>
  <c r="E91" i="1"/>
  <c r="CU91" i="1"/>
  <c r="A92" i="1"/>
  <c r="E92" i="1"/>
  <c r="CU92" i="1"/>
  <c r="A199" i="1"/>
  <c r="CU199" i="1"/>
  <c r="E199" i="1"/>
  <c r="A198" i="1"/>
  <c r="CU198" i="1"/>
  <c r="E198" i="1"/>
  <c r="A197" i="1"/>
  <c r="CU197" i="1"/>
  <c r="E197" i="1"/>
  <c r="A196" i="1"/>
  <c r="CU196" i="1"/>
  <c r="E196" i="1"/>
  <c r="A64" i="1"/>
  <c r="CU64" i="1"/>
  <c r="A57" i="1"/>
  <c r="CU57" i="1"/>
  <c r="A72" i="1"/>
  <c r="CU72" i="1"/>
  <c r="A144" i="1"/>
  <c r="CU144" i="1"/>
  <c r="E144" i="1"/>
  <c r="A68" i="1"/>
  <c r="CU68" i="1"/>
  <c r="A69" i="1"/>
  <c r="CU69" i="1"/>
  <c r="A61" i="1"/>
  <c r="CU61" i="1"/>
  <c r="A62" i="1"/>
  <c r="CU62" i="1"/>
  <c r="A36" i="1"/>
  <c r="CU36" i="1"/>
  <c r="A37" i="1"/>
  <c r="CU37" i="1"/>
  <c r="A143" i="1"/>
  <c r="CU143" i="1"/>
  <c r="E143" i="1"/>
  <c r="A70" i="1"/>
  <c r="CU70" i="1"/>
  <c r="A55" i="1"/>
  <c r="CU55" i="1"/>
  <c r="A227" i="1"/>
  <c r="CU227" i="1"/>
  <c r="A226" i="1"/>
  <c r="CU226" i="1"/>
  <c r="A225" i="1"/>
  <c r="CU225" i="1"/>
  <c r="A224" i="1"/>
  <c r="CU224" i="1"/>
  <c r="A223" i="1"/>
  <c r="CU223" i="1"/>
  <c r="A222" i="1"/>
  <c r="CU222" i="1"/>
  <c r="A221" i="1"/>
  <c r="CU221" i="1"/>
  <c r="A220" i="1"/>
  <c r="CU220" i="1"/>
  <c r="A219" i="1"/>
  <c r="CU219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1" i="1"/>
  <c r="CU71" i="1"/>
  <c r="A67" i="1"/>
  <c r="CU67" i="1"/>
  <c r="A66" i="1"/>
  <c r="CU66" i="1"/>
  <c r="A65" i="1"/>
  <c r="CU65" i="1"/>
  <c r="A63" i="1"/>
  <c r="CU63" i="1"/>
  <c r="A60" i="1"/>
  <c r="CU60" i="1"/>
  <c r="A59" i="1"/>
  <c r="CU59" i="1"/>
  <c r="A58" i="1"/>
  <c r="CU58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28" i="1"/>
  <c r="E215" i="1"/>
  <c r="E193" i="1"/>
  <c r="E207" i="1"/>
  <c r="E192" i="1"/>
  <c r="E191" i="1"/>
  <c r="E190" i="1"/>
  <c r="E189" i="1"/>
  <c r="E146" i="1"/>
  <c r="E114" i="1"/>
  <c r="E203" i="1"/>
  <c r="E195" i="1"/>
  <c r="E162" i="1"/>
  <c r="E148" i="1"/>
  <c r="E135" i="1"/>
  <c r="E134" i="1"/>
  <c r="E133" i="1"/>
  <c r="E130" i="1"/>
  <c r="E126" i="1"/>
  <c r="E124" i="1"/>
  <c r="E122" i="1"/>
  <c r="E120" i="1"/>
  <c r="E118" i="1"/>
  <c r="E116" i="1"/>
  <c r="E112" i="1"/>
  <c r="E110" i="1"/>
  <c r="E108" i="1"/>
  <c r="E106" i="1"/>
  <c r="E104" i="1"/>
  <c r="E214" i="1"/>
  <c r="E213" i="1"/>
  <c r="E212" i="1"/>
  <c r="E211" i="1"/>
  <c r="E208" i="1"/>
  <c r="E206" i="1"/>
  <c r="E205" i="1"/>
  <c r="E204" i="1"/>
  <c r="E202" i="1"/>
  <c r="E201" i="1"/>
  <c r="E200" i="1"/>
  <c r="E194" i="1"/>
  <c r="E188" i="1"/>
  <c r="E187" i="1"/>
  <c r="E186" i="1"/>
  <c r="E185" i="1"/>
  <c r="E184" i="1"/>
  <c r="E183" i="1"/>
  <c r="E182" i="1"/>
  <c r="E161" i="1"/>
  <c r="E160" i="1"/>
  <c r="E154" i="1"/>
  <c r="E153" i="1"/>
  <c r="E152" i="1"/>
  <c r="E151" i="1"/>
  <c r="E150" i="1"/>
  <c r="E149" i="1"/>
  <c r="E147" i="1"/>
  <c r="E145" i="1"/>
  <c r="E142" i="1"/>
  <c r="E141" i="1"/>
  <c r="E131" i="1"/>
  <c r="E128" i="1"/>
  <c r="E127" i="1"/>
  <c r="E125" i="1"/>
  <c r="E123" i="1"/>
  <c r="E121" i="1"/>
  <c r="E119" i="1"/>
  <c r="E117" i="1"/>
  <c r="E115" i="1"/>
  <c r="E113" i="1"/>
  <c r="E111" i="1"/>
  <c r="E109" i="1"/>
  <c r="E107" i="1"/>
  <c r="E105" i="1"/>
  <c r="E103" i="1"/>
  <c r="E90" i="1"/>
  <c r="E89" i="1"/>
  <c r="E88" i="1"/>
  <c r="E87" i="1"/>
  <c r="E86" i="1"/>
  <c r="E85" i="1"/>
  <c r="E84" i="1"/>
  <c r="E83" i="1"/>
</calcChain>
</file>

<file path=xl/sharedStrings.xml><?xml version="1.0" encoding="utf-8"?>
<sst xmlns="http://schemas.openxmlformats.org/spreadsheetml/2006/main" count="2612" uniqueCount="841">
  <si>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</si>
  <si>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</si>
  <si>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</si>
  <si>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</si>
  <si>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</si>
  <si>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</si>
  <si>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</si>
  <si>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</si>
  <si>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</si>
  <si>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</si>
  <si>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</si>
  <si>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</si>
  <si>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</si>
  <si>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</si>
  <si>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</si>
  <si>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</si>
  <si>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</si>
  <si>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</si>
  <si>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</si>
  <si>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</si>
  <si>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</si>
  <si>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</si>
  <si>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</si>
  <si>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</si>
  <si>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</si>
  <si>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</si>
  <si>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</si>
  <si>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</si>
  <si>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</si>
  <si>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</si>
  <si>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</si>
  <si>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</si>
  <si>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</si>
  <si>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</si>
  <si>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</si>
  <si>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</si>
  <si>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</si>
  <si>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</si>
  <si>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</si>
  <si>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</si>
  <si>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</si>
  <si>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</si>
  <si>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</si>
  <si>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</si>
  <si>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</si>
  <si>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</si>
  <si>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</si>
  <si>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</si>
  <si>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</si>
  <si>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</si>
  <si>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</si>
  <si>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</si>
  <si>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</si>
  <si>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</si>
  <si>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</si>
  <si>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</si>
  <si>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</si>
  <si>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</si>
  <si>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</si>
  <si>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</si>
  <si>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</si>
  <si>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</si>
  <si>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</si>
  <si>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</si>
  <si>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</si>
  <si>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</si>
  <si>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</si>
  <si>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</si>
  <si>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</si>
  <si>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</si>
  <si>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</si>
  <si>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</si>
  <si>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</si>
  <si>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</si>
  <si>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</si>
  <si>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</si>
  <si>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</si>
  <si>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</si>
  <si>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</si>
  <si>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</si>
  <si>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</si>
  <si>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</si>
  <si>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</si>
  <si>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</si>
  <si>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</si>
  <si>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</si>
  <si>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</si>
  <si>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</si>
  <si>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</si>
  <si>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</si>
  <si>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</si>
  <si>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</si>
  <si>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</si>
  <si>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</si>
  <si>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</si>
  <si>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</si>
  <si>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</si>
  <si>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</si>
  <si>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</si>
  <si>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</si>
  <si>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</si>
  <si>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</si>
  <si>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</si>
  <si>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</si>
  <si>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</si>
  <si>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</si>
  <si>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</si>
  <si>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</si>
  <si>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</si>
  <si>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</si>
  <si>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</si>
  <si>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</si>
  <si>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</si>
  <si>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</si>
  <si>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</si>
  <si>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</si>
  <si>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</si>
  <si>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</si>
  <si>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</si>
  <si>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</si>
  <si>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</si>
  <si>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</si>
  <si>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</si>
  <si>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</si>
  <si>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</si>
  <si>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</si>
  <si>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</si>
  <si>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</si>
  <si>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</si>
  <si>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</si>
  <si>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</si>
  <si>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</si>
  <si>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</si>
  <si>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</si>
  <si>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</si>
  <si>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</si>
  <si>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</si>
  <si>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</si>
  <si>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</si>
  <si>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</si>
  <si>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</si>
  <si>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</si>
  <si>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</si>
  <si>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</si>
  <si>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</si>
  <si>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</si>
  <si>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</si>
  <si>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</si>
  <si>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</si>
  <si>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</si>
  <si>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</si>
  <si>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</si>
  <si>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</si>
  <si>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</si>
  <si>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</si>
  <si>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</si>
  <si>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</si>
  <si>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</si>
  <si>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</si>
  <si>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</si>
  <si>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</si>
  <si>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</si>
  <si>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</si>
  <si>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</si>
  <si>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</si>
  <si>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</si>
  <si>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</si>
  <si>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</si>
  <si>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</si>
  <si>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</si>
  <si>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</si>
  <si>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</si>
  <si>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</si>
  <si>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</si>
  <si>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</si>
  <si>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</si>
  <si>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</si>
  <si>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</si>
  <si>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</si>
  <si>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</si>
  <si>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</si>
  <si>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</si>
  <si>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</si>
  <si>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</si>
  <si>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</si>
  <si>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</si>
  <si>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</si>
  <si>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</si>
  <si>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</si>
  <si>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</si>
  <si>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</si>
  <si>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</si>
  <si>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</si>
  <si>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</si>
  <si>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</si>
  <si>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</si>
  <si>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</si>
  <si>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</si>
  <si>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</si>
  <si>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</si>
  <si>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</si>
  <si>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</si>
  <si>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</si>
  <si>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</si>
  <si>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</si>
  <si>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</si>
  <si>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</si>
  <si>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</si>
  <si>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</si>
  <si>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</si>
  <si>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</si>
  <si>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</si>
  <si>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</si>
  <si>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</si>
  <si>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</si>
  <si>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</si>
  <si>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</si>
  <si>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</si>
  <si>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</si>
  <si>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</si>
  <si>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</si>
  <si>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</si>
  <si>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</si>
  <si>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</si>
  <si>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</si>
  <si>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</si>
  <si>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</si>
  <si>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</si>
  <si>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</si>
  <si>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</si>
  <si>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</si>
  <si>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</si>
  <si>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</si>
  <si>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</si>
  <si>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</si>
  <si>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</si>
  <si>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</si>
  <si>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</si>
  <si>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</si>
  <si>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</si>
  <si>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</si>
  <si>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</si>
  <si>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</si>
  <si>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</si>
  <si>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</si>
  <si>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</si>
  <si>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</si>
  <si>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</si>
  <si>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</si>
  <si>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</si>
  <si>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</si>
  <si>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</si>
  <si>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</si>
  <si>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</si>
  <si>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</si>
  <si>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</si>
  <si>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</si>
  <si>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</si>
  <si>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</si>
  <si>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</si>
  <si>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</si>
  <si>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</si>
  <si>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</si>
  <si>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</si>
  <si>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</si>
  <si>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</si>
  <si>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</si>
  <si>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</si>
  <si>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</si>
  <si>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</si>
  <si>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</si>
  <si>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</si>
  <si>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</si>
  <si>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</si>
  <si>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</si>
  <si>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</si>
  <si>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</si>
  <si>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</si>
  <si>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</si>
  <si>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</si>
  <si>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</si>
  <si>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</si>
  <si>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</si>
  <si>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</si>
  <si>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</si>
  <si>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</si>
  <si>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</si>
  <si>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</si>
  <si>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</si>
  <si>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</si>
  <si>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</si>
  <si>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</si>
  <si>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</si>
  <si>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</si>
  <si>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</si>
  <si>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</si>
  <si>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</si>
  <si>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</si>
  <si>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</si>
  <si>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</si>
  <si>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</si>
  <si>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</si>
  <si>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</si>
  <si>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</si>
  <si>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</si>
  <si>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</si>
  <si>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</si>
  <si>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</si>
  <si>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</si>
  <si>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</si>
  <si>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</si>
  <si>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</si>
  <si>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</si>
  <si>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</si>
  <si>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</si>
  <si>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</si>
  <si>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</si>
  <si>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</si>
  <si>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</si>
  <si>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</si>
  <si>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</si>
  <si>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</si>
  <si>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</si>
  <si>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</si>
  <si>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</si>
  <si>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</si>
  <si>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</si>
  <si>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</si>
  <si>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</si>
  <si>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</si>
  <si>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</si>
  <si>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</si>
  <si>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</si>
  <si>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</si>
  <si>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</si>
  <si>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</si>
  <si>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</si>
  <si>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</si>
  <si>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</si>
  <si>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</si>
  <si>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</si>
  <si>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</si>
  <si>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</si>
  <si>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</si>
  <si>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</si>
  <si>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</si>
  <si>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</si>
  <si>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</si>
  <si>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</si>
  <si>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</si>
  <si>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</si>
  <si>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</si>
  <si>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</si>
  <si>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</si>
  <si>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</si>
  <si>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</si>
  <si>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</si>
  <si>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</si>
  <si>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</si>
  <si>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</si>
  <si>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</si>
  <si>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</si>
  <si>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</si>
  <si>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</si>
  <si>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</si>
  <si>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</si>
  <si>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</si>
  <si>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</si>
  <si>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</si>
  <si>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</si>
  <si>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</si>
  <si>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</si>
  <si>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</si>
  <si>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</si>
  <si>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</si>
  <si>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</si>
  <si>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</si>
  <si>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</si>
  <si>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</si>
  <si>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</si>
  <si>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</si>
  <si>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</si>
  <si>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</si>
  <si>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</si>
  <si>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</si>
  <si>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</si>
  <si>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</si>
  <si>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</si>
  <si>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</si>
  <si>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</si>
  <si>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</si>
  <si>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</si>
  <si>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</si>
  <si>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</si>
  <si>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</si>
  <si>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</si>
  <si>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</si>
  <si>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</si>
  <si>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</si>
  <si>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</si>
  <si>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</si>
  <si>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</si>
  <si>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</si>
  <si>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</si>
  <si>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</si>
  <si>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</si>
  <si>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</si>
  <si>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</si>
  <si>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</si>
  <si>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</si>
  <si>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</si>
  <si>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</si>
  <si>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</si>
  <si>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</si>
  <si>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</si>
  <si>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</si>
  <si>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</si>
  <si>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</si>
  <si>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</si>
  <si>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</si>
  <si>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</si>
  <si>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</si>
  <si>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</si>
  <si>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</si>
  <si>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</si>
  <si>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</si>
  <si>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</si>
  <si>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</si>
  <si>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</si>
  <si>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</si>
  <si>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</si>
  <si>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</si>
  <si>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</si>
  <si>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</si>
  <si>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</si>
  <si>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</si>
  <si>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</si>
  <si>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</si>
  <si>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</si>
  <si>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</si>
  <si>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</si>
  <si>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</si>
  <si>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</si>
  <si>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</si>
  <si>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</si>
  <si>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</si>
  <si>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</si>
  <si>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</si>
  <si>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</si>
  <si>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</si>
  <si>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</si>
  <si>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</si>
  <si>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</si>
  <si>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</si>
  <si>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</si>
  <si>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</si>
  <si>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</si>
  <si>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</si>
  <si>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</si>
  <si>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</si>
  <si>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</si>
  <si>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</si>
  <si>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</si>
  <si>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</si>
  <si>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</si>
  <si>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</si>
  <si>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</si>
  <si>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</si>
  <si>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</si>
  <si>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</si>
  <si>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</si>
  <si>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</si>
  <si>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</si>
  <si>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</si>
  <si>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</si>
  <si>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</si>
  <si>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</si>
  <si>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</si>
  <si>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</si>
  <si>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</si>
  <si>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</si>
  <si>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</si>
  <si>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</si>
  <si>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</si>
  <si>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</si>
  <si>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</si>
  <si>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</si>
  <si>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</si>
  <si>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</si>
  <si>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</si>
  <si>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</si>
  <si>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</si>
  <si>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</si>
  <si>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</si>
  <si>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</si>
  <si>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</si>
  <si>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</si>
  <si>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</si>
  <si>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</si>
  <si>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</si>
  <si>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</si>
  <si>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</si>
  <si>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</si>
  <si>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</si>
  <si>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</si>
  <si>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</si>
  <si>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</si>
  <si>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</si>
  <si>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</si>
  <si>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</si>
  <si>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</si>
  <si>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</si>
  <si>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</si>
  <si>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</si>
  <si>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</si>
  <si>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</si>
  <si>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</si>
  <si>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</si>
  <si>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</si>
  <si>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</si>
  <si>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</si>
  <si>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</si>
  <si>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</si>
  <si>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</si>
  <si>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</si>
  <si>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</si>
  <si>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</si>
  <si>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</si>
  <si>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</si>
  <si>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</si>
  <si>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</si>
  <si>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</si>
  <si>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</si>
  <si>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</si>
  <si>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</si>
  <si>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</si>
  <si>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</si>
  <si>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</si>
  <si>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</si>
  <si>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</si>
  <si>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</si>
  <si>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</si>
  <si>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</si>
  <si>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</si>
  <si>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</si>
  <si>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</si>
  <si>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</si>
  <si>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</si>
  <si>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</si>
  <si>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</si>
  <si>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</si>
  <si>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</si>
  <si>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</si>
  <si>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</si>
  <si>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</si>
  <si>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</si>
  <si>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</si>
  <si>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</si>
  <si>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</si>
  <si>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</si>
  <si>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</si>
  <si>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</si>
  <si>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</si>
  <si>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</si>
  <si>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</si>
  <si>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</si>
  <si>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</si>
  <si>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</si>
  <si>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</si>
  <si>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</si>
  <si>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</si>
  <si>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</si>
  <si>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</si>
  <si>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</si>
  <si>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</si>
  <si>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</si>
  <si>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</si>
  <si>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</si>
  <si>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</si>
  <si>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</si>
  <si>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</si>
  <si>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</si>
  <si>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</si>
  <si>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</si>
  <si>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</si>
  <si>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</si>
  <si>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</si>
  <si>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</si>
  <si>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</si>
  <si>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</si>
  <si>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</si>
  <si>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</si>
  <si>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</si>
  <si>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</si>
  <si>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</si>
  <si>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</si>
  <si>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</si>
  <si>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</si>
  <si>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</si>
  <si>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</si>
  <si>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</si>
  <si>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</si>
  <si>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</si>
  <si>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</si>
  <si>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</si>
  <si>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</si>
  <si>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</si>
  <si>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</si>
  <si>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</si>
  <si>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</si>
  <si>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</si>
  <si>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</si>
  <si>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</si>
  <si>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</si>
  <si>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</si>
  <si>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</si>
  <si>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</si>
  <si>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</si>
  <si>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</si>
  <si>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</si>
  <si>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</si>
  <si>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</si>
  <si>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</si>
  <si>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</si>
  <si>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</si>
  <si>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</si>
  <si>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</si>
  <si>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</si>
  <si>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</si>
  <si>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</si>
  <si>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</si>
  <si>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</si>
  <si>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</si>
  <si>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</si>
  <si>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</si>
  <si>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</si>
  <si>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</si>
  <si>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</si>
  <si>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</si>
  <si>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</si>
  <si>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</si>
  <si>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</si>
  <si>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</si>
  <si>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</si>
  <si>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</si>
  <si>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</si>
  <si>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</si>
  <si>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</si>
  <si>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</si>
  <si>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</si>
  <si>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</si>
  <si>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</si>
  <si>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</si>
  <si>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</si>
  <si>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</si>
  <si>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</si>
  <si>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</si>
  <si>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</si>
  <si>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</si>
  <si>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</si>
  <si>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</si>
  <si>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</si>
  <si>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</si>
  <si>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</si>
  <si>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</si>
  <si>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</si>
  <si>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</si>
  <si>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</si>
  <si>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</si>
  <si>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</si>
  <si>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</si>
  <si>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</si>
  <si>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</si>
  <si>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</si>
  <si>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</si>
  <si>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</si>
  <si>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</si>
  <si>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</si>
  <si>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</si>
  <si>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</si>
  <si>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</si>
  <si>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</si>
  <si>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</si>
  <si>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</si>
  <si>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</si>
  <si>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</si>
  <si>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</si>
  <si>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</si>
  <si>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</si>
  <si>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</si>
  <si>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</si>
  <si>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</si>
  <si>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</si>
  <si>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</si>
  <si>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</si>
  <si>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</si>
  <si>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</si>
  <si>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</si>
  <si>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</si>
  <si>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</si>
  <si>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</si>
  <si>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</si>
  <si>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</si>
  <si>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</si>
  <si>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</si>
  <si>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</si>
  <si>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</si>
  <si>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</si>
  <si>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</si>
  <si>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</si>
  <si>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</si>
  <si>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</si>
  <si>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</si>
  <si>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</si>
  <si>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</si>
  <si>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</si>
  <si>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</si>
  <si>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</si>
  <si>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</si>
  <si>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</si>
  <si>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</si>
  <si>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</si>
  <si>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</si>
  <si>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</si>
  <si>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</si>
  <si>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</si>
  <si>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</si>
  <si>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</si>
  <si>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</si>
  <si>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</si>
  <si>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</si>
  <si>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</si>
  <si>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</si>
  <si>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</si>
  <si>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</si>
  <si>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</si>
  <si>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</si>
  <si>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</si>
  <si>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</si>
  <si>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</si>
  <si>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</si>
  <si>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</si>
  <si>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</si>
  <si>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</si>
  <si>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</si>
  <si>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</si>
  <si>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</si>
  <si>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</si>
  <si>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</si>
  <si>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</si>
  <si>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</si>
  <si>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</si>
  <si>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</si>
  <si>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</si>
  <si>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</si>
  <si>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</si>
  <si>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</si>
  <si>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</si>
  <si>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</si>
  <si>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</si>
  <si>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</si>
  <si>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</si>
  <si>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</si>
  <si>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</si>
  <si>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</si>
  <si>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</si>
  <si>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</si>
  <si>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</si>
  <si>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</si>
  <si>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</si>
  <si>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</si>
  <si>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</si>
  <si>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</si>
  <si>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</si>
  <si>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</si>
  <si>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</si>
  <si>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</si>
  <si>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</si>
  <si>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</si>
  <si>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</si>
  <si>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</si>
  <si>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</si>
  <si>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</si>
  <si>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</si>
  <si>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</si>
  <si>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</si>
  <si>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</si>
  <si>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</si>
  <si>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</si>
  <si>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</si>
  <si>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</si>
  <si>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</si>
  <si>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</si>
  <si>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</si>
  <si>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</si>
  <si>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</si>
  <si>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</si>
  <si>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</si>
  <si>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</si>
  <si>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</si>
  <si>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</si>
  <si>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</si>
  <si>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</si>
  <si>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</si>
  <si>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</si>
  <si>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</si>
  <si>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</si>
  <si>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</si>
  <si>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</si>
  <si>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</si>
  <si>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</si>
  <si>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</si>
  <si>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</si>
  <si>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</si>
  <si>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</si>
  <si>
    <t>Extract-Head</t>
  </si>
  <si>
    <t>Exthead</t>
  </si>
  <si>
    <t>Verse2-Dropline</t>
  </si>
  <si>
    <t>V2drop</t>
  </si>
  <si>
    <t>V1drop</t>
  </si>
  <si>
    <t>Verse1-Dropline</t>
  </si>
  <si>
    <t>cstyle3</t>
  </si>
  <si>
    <t>cstyle4</t>
  </si>
  <si>
    <t>cstyle5</t>
  </si>
  <si>
    <t>cstyle6</t>
  </si>
  <si>
    <t>cs3</t>
  </si>
  <si>
    <t>cs4</t>
  </si>
  <si>
    <t>cs5</t>
  </si>
  <si>
    <t>cs6</t>
  </si>
  <si>
    <t>246, 193, 67</t>
  </si>
  <si>
    <t>Alt Chapter</t>
  </si>
  <si>
    <t>255,232,243</t>
  </si>
  <si>
    <t>255,212,218</t>
  </si>
  <si>
    <t>255,192,193</t>
  </si>
  <si>
    <t>255,172,168</t>
  </si>
  <si>
    <t>255,152,143</t>
  </si>
  <si>
    <t>255,132,128</t>
  </si>
  <si>
    <t>Text-Message1</t>
  </si>
  <si>
    <t>Text-Message2</t>
  </si>
  <si>
    <t>Tmg1</t>
  </si>
  <si>
    <t>Tmg2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</si>
</sst>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D0D0D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5E0B3"/>
        <bgColor indexed="64"/>
      </patternFill>
    </fill>
    <fill>
      <patternFill patternType="solid">
        <fgColor rgb="FFF6C143"/>
        <bgColor indexed="64"/>
      </patternFill>
    </fill>
    <fill>
      <patternFill patternType="solid">
        <fgColor rgb="FFD1EBDE"/>
        <bgColor indexed="64"/>
      </patternFill>
    </fill>
    <fill>
      <patternFill patternType="solid">
        <fgColor rgb="FFFFE8F3"/>
        <bgColor indexed="64"/>
      </patternFill>
    </fill>
    <fill>
      <patternFill patternType="solid">
        <fgColor rgb="FFFFD4DA"/>
        <bgColor indexed="64"/>
      </patternFill>
    </fill>
    <fill>
      <patternFill patternType="solid">
        <fgColor rgb="FFFFC0C1"/>
        <bgColor indexed="64"/>
      </patternFill>
    </fill>
    <fill>
      <patternFill patternType="solid">
        <fgColor rgb="FFFFACA8"/>
        <bgColor indexed="64"/>
      </patternFill>
    </fill>
    <fill>
      <patternFill patternType="solid">
        <fgColor rgb="FFFF988F"/>
        <bgColor indexed="64"/>
      </patternFill>
    </fill>
    <fill>
      <patternFill patternType="solid">
        <fgColor rgb="FFFF84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6" fillId="15" borderId="0" xfId="0" applyNumberFormat="1" applyFont="1" applyFill="1" applyProtection="1">
      <protection locked="0"/>
    </xf>
    <xf numFmtId="49" fontId="14" fillId="16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4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0" fontId="0" fillId="28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49" fontId="6" fillId="29" borderId="0" xfId="0" applyNumberFormat="1" applyFont="1" applyFill="1" applyProtection="1">
      <protection locked="0"/>
    </xf>
    <xf numFmtId="49" fontId="19" fillId="30" borderId="0" xfId="0" applyNumberFormat="1" applyFont="1" applyFill="1" applyProtection="1">
      <protection locked="0"/>
    </xf>
    <xf numFmtId="49" fontId="6" fillId="31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6" fillId="32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6" fillId="35" borderId="0" xfId="0" applyNumberFormat="1" applyFont="1" applyFill="1" applyProtection="1">
      <protection locked="0"/>
    </xf>
    <xf numFmtId="49" fontId="6" fillId="36" borderId="0" xfId="0" applyNumberFormat="1" applyFont="1" applyFill="1" applyProtection="1">
      <protection locked="0"/>
    </xf>
    <xf numFmtId="49" fontId="6" fillId="37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30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28" totalsRowShown="0" headerRowDxfId="304" dataDxfId="302" headerRowBorderDxfId="303" tableBorderDxfId="301">
  <autoFilter ref="A3:DB228" xr:uid="{00000000-0009-0000-0100-000002000000}"/>
  <sortState ref="A4:CT504">
    <sortCondition ref="F3:F504"/>
  </sortState>
  <tableColumns count="106">
    <tableColumn id="1" xr3:uid="{00000000-0010-0000-0000-000001000000}" name="Full_Style_Name" dataDxfId="300">
      <calculatedColumnFormula>IF($D4="","",TRIM($C4)&amp;" "&amp;CHAR(40)&amp;TRIM($D4)&amp;CHAR(41))</calculatedColumnFormula>
    </tableColumn>
    <tableColumn id="2" xr3:uid="{00000000-0010-0000-0000-000002000000}" name="Usage_Notes" dataDxfId="299"/>
    <tableColumn id="3" xr3:uid="{00000000-0010-0000-0000-000003000000}" name="Style_Name" dataDxfId="298"/>
    <tableColumn id="4" xr3:uid="{00000000-0010-0000-0000-000004000000}" name="Style_Code" dataDxfId="297"/>
    <tableColumn id="5" xr3:uid="{00000000-0010-0000-0000-000005000000}" name="NextParagraphStyle" dataDxfId="296"/>
    <tableColumn id="6" xr3:uid="{00000000-0010-0000-0000-000006000000}" name="Priority" dataDxfId="295"/>
    <tableColumn id="7" xr3:uid="{00000000-0010-0000-0000-000007000000}" name="QuickStyle" dataDxfId="294"/>
    <tableColumn id="8" xr3:uid="{00000000-0010-0000-0000-000008000000}" name="Type" dataDxfId="293"/>
    <tableColumn id="9" xr3:uid="{00000000-0010-0000-0000-000009000000}" name="Font.name" dataDxfId="292"/>
    <tableColumn id="10" xr3:uid="{00000000-0010-0000-0000-00000A000000}" name="Font.Size" dataDxfId="291"/>
    <tableColumn id="11" xr3:uid="{00000000-0010-0000-0000-00000B000000}" name="Font.Italic" dataDxfId="290"/>
    <tableColumn id="12" xr3:uid="{00000000-0010-0000-0000-00000C000000}" name="Font.Bold" dataDxfId="289"/>
    <tableColumn id="13" xr3:uid="{00000000-0010-0000-0000-00000D000000}" name="Font.TextColor" dataDxfId="288"/>
    <tableColumn id="14" xr3:uid="{00000000-0010-0000-0000-00000E000000}" name="Font.Underline" dataDxfId="287"/>
    <tableColumn id="15" xr3:uid="{00000000-0010-0000-0000-00000F000000}" name="Font.SmallCaps" dataDxfId="286"/>
    <tableColumn id="16" xr3:uid="{00000000-0010-0000-0000-000010000000}" name="Font.Superscript" dataDxfId="285"/>
    <tableColumn id="17" xr3:uid="{00000000-0010-0000-0000-000011000000}" name="Font.Subscript" dataDxfId="284"/>
    <tableColumn id="18" xr3:uid="{00000000-0010-0000-0000-000012000000}" name="Font.StrikeThrough" dataDxfId="283"/>
    <tableColumn id="19" xr3:uid="{00000000-0010-0000-0000-000013000000}" name="shortcut_keys_enabled_tf" dataDxfId="282"/>
    <tableColumn id="20" xr3:uid="{00000000-0010-0000-0000-000014000000}" name="shortcut_keys__shift_tf" dataDxfId="281"/>
    <tableColumn id="21" xr3:uid="{00000000-0010-0000-0000-000015000000}" name="shortcut_keys__control_tf" dataDxfId="280"/>
    <tableColumn id="22" xr3:uid="{00000000-0010-0000-0000-000016000000}" name="shortcut_keys__alt_tf" dataDxfId="279"/>
    <tableColumn id="23" xr3:uid="{00000000-0010-0000-0000-000017000000}" name="shortcut_keys__letter" dataDxfId="278"/>
    <tableColumn id="24" xr3:uid="{00000000-0010-0000-0000-000018000000}" name="NoSpaceBetweenParagraphsOfSameStyle" dataDxfId="277"/>
    <tableColumn id="25" xr3:uid="{00000000-0010-0000-0000-000019000000}" name="Bullet" dataDxfId="276"/>
    <tableColumn id="104" xr3:uid="{52C41320-AAE8-45BB-813C-6BC00B091A2B}" name="NumberWithDot" dataDxfId="275"/>
    <tableColumn id="105" xr3:uid="{8102D09B-8AF9-4443-8846-95E7F3544B51}" name="LowerLetterWithBracket" dataDxfId="274"/>
    <tableColumn id="26" xr3:uid="{00000000-0010-0000-0000-00001A000000}" name="Checklist" dataDxfId="273"/>
    <tableColumn id="27" xr3:uid="{00000000-0010-0000-0000-00001B000000}" name="ParagraphFormat.LeftIndent" dataDxfId="272"/>
    <tableColumn id="28" xr3:uid="{00000000-0010-0000-0000-00001C000000}" name="ParagraphFormat.RightIndent" dataDxfId="271"/>
    <tableColumn id="29" xr3:uid="{00000000-0010-0000-0000-00001D000000}" name="ParagraphFormat.SpaceBefore" dataDxfId="270"/>
    <tableColumn id="30" xr3:uid="{00000000-0010-0000-0000-00001E000000}" name="ParagraphFormat.SpaceAfter" dataDxfId="269"/>
    <tableColumn id="31" xr3:uid="{00000000-0010-0000-0000-00001F000000}" name="ParagraphFormat.LineSpacingRule" dataDxfId="268"/>
    <tableColumn id="32" xr3:uid="{00000000-0010-0000-0000-000020000000}" name="ParagraphFormat.LineSpacing" dataDxfId="267"/>
    <tableColumn id="33" xr3:uid="{00000000-0010-0000-0000-000021000000}" name="ParagraphFormat.Alignment" dataDxfId="266"/>
    <tableColumn id="34" xr3:uid="{00000000-0010-0000-0000-000022000000}" name="ParagraphFormat.FirstLineIndent" dataDxfId="265"/>
    <tableColumn id="35" xr3:uid="{00000000-0010-0000-0000-000023000000}" name="ParagraphFormat.OutlineLevel" dataDxfId="264"/>
    <tableColumn id="36" xr3:uid="{00000000-0010-0000-0000-000024000000}" name="ParagraphFormat.PageBreakBefore" dataDxfId="263"/>
    <tableColumn id="37" xr3:uid="{00000000-0010-0000-0000-000025000000}" name="ParagraphFormat.WidowControl" dataDxfId="262"/>
    <tableColumn id="38" xr3:uid="{00000000-0010-0000-0000-000026000000}" name="Borders(-1)" dataDxfId="261"/>
    <tableColumn id="39" xr3:uid="{00000000-0010-0000-0000-000027000000}" name="Borders(-1).Color" dataDxfId="260"/>
    <tableColumn id="40" xr3:uid="{00000000-0010-0000-0000-000028000000}" name="Borders(-1).LineStyle" dataDxfId="259"/>
    <tableColumn id="41" xr3:uid="{00000000-0010-0000-0000-000029000000}" name="Borders(-1).LineWidth" dataDxfId="258"/>
    <tableColumn id="42" xr3:uid="{00000000-0010-0000-0000-00002A000000}" name="Borders(-2)" dataDxfId="257"/>
    <tableColumn id="43" xr3:uid="{00000000-0010-0000-0000-00002B000000}" name="Borders(-2).Color" dataDxfId="256"/>
    <tableColumn id="44" xr3:uid="{00000000-0010-0000-0000-00002C000000}" name="Borders(-2).LineStyle" dataDxfId="255"/>
    <tableColumn id="45" xr3:uid="{00000000-0010-0000-0000-00002D000000}" name="Borders(-2).LineWidth" dataDxfId="254"/>
    <tableColumn id="46" xr3:uid="{00000000-0010-0000-0000-00002E000000}" name="Borders(-3)" dataDxfId="253"/>
    <tableColumn id="47" xr3:uid="{00000000-0010-0000-0000-00002F000000}" name="Borders(-3).Color" dataDxfId="252"/>
    <tableColumn id="48" xr3:uid="{00000000-0010-0000-0000-000030000000}" name="Borders(-3).LineStyle" dataDxfId="251"/>
    <tableColumn id="49" xr3:uid="{00000000-0010-0000-0000-000031000000}" name="Borders(-3).LineWidth" dataDxfId="250"/>
    <tableColumn id="50" xr3:uid="{00000000-0010-0000-0000-000032000000}" name="Borders(-4)" dataDxfId="249"/>
    <tableColumn id="51" xr3:uid="{00000000-0010-0000-0000-000033000000}" name="Borders(-4).Color" dataDxfId="248"/>
    <tableColumn id="52" xr3:uid="{00000000-0010-0000-0000-000034000000}" name="Borders(-4).LineStyle" dataDxfId="247"/>
    <tableColumn id="53" xr3:uid="{00000000-0010-0000-0000-000035000000}" name="Borders(-4).LineWidth" dataDxfId="246"/>
    <tableColumn id="54" xr3:uid="{00000000-0010-0000-0000-000036000000}" name="Borders.DistanceFromLeft" dataDxfId="245"/>
    <tableColumn id="55" xr3:uid="{00000000-0010-0000-0000-000037000000}" name="Borders.DistanceFromRight" dataDxfId="244"/>
    <tableColumn id="56" xr3:uid="{00000000-0010-0000-0000-000038000000}" name="Borders.DistanceFromTop" dataDxfId="243"/>
    <tableColumn id="57" xr3:uid="{00000000-0010-0000-0000-000039000000}" name="Borders.DistanceFromBottom" dataDxfId="242"/>
    <tableColumn id="58" xr3:uid="{00000000-0010-0000-0000-00003A000000}" name="ParagraphFormat.Shading.BackgroundPatternColor" dataDxfId="241"/>
    <tableColumn id="59" xr3:uid="{00000000-0010-0000-0000-00003B000000}" name="Font.Borders(1).Color" dataDxfId="240"/>
    <tableColumn id="60" xr3:uid="{00000000-0010-0000-0000-00003C000000}" name="Font.Borders(1).LineStyle" dataDxfId="239"/>
    <tableColumn id="61" xr3:uid="{00000000-0010-0000-0000-00003D000000}" name="Font.Borders(1).LineWidth" dataDxfId="238"/>
    <tableColumn id="62" xr3:uid="{00000000-0010-0000-0000-00003E000000}" name="Font.Shading.BackgroundPatternColor" dataDxfId="237"/>
    <tableColumn id="63" xr3:uid="{00000000-0010-0000-0000-00003F000000}" name="BaseStyle" dataDxfId="236"/>
    <tableColumn id="64" xr3:uid="{00000000-0010-0000-0000-000040000000}" name="ListLevelNumber" dataDxfId="235"/>
    <tableColumn id="65" xr3:uid="{00000000-0010-0000-0000-000041000000}" name="NoProofing" dataDxfId="234"/>
    <tableColumn id="66" xr3:uid="{00000000-0010-0000-0000-000042000000}" name="no_export.tag" dataDxfId="233"/>
    <tableColumn id="67" xr3:uid="{00000000-0010-0000-0000-000043000000}" name="no_export.requiredparent" dataDxfId="232"/>
    <tableColumn id="68" xr3:uid="{00000000-0010-0000-0000-000044000000}" name="no_export.toplevelparent" dataDxfId="231"/>
    <tableColumn id="69" xr3:uid="{00000000-0010-0000-0000-000045000000}" name="no_export.parentdatatype" dataDxfId="230"/>
    <tableColumn id="70" xr3:uid="{00000000-0010-0000-0000-000046000000}" name="no_export.parent" dataDxfId="229"/>
    <tableColumn id="71" xr3:uid="{00000000-0010-0000-0000-000047000000}" name="html.partheads" dataDxfId="228"/>
    <tableColumn id="72" xr3:uid="{00000000-0010-0000-0000-000048000000}" name="html.headingparas" dataDxfId="227"/>
    <tableColumn id="73" xr3:uid="{00000000-0010-0000-0000-000049000000}" name="html.extractparas" dataDxfId="226"/>
    <tableColumn id="74" xr3:uid="{00000000-0010-0000-0000-00004A000000}" name="html.epigraphparas" dataDxfId="225"/>
    <tableColumn id="75" xr3:uid="{00000000-0010-0000-0000-00004B000000}" name="html.verseparas" dataDxfId="224"/>
    <tableColumn id="100" xr3:uid="{00000000-0010-0000-0000-000064000000}" name="html.containerparas" dataDxfId="223"/>
    <tableColumn id="99" xr3:uid="{00000000-0010-0000-0000-000063000000}" name="html.containerendparas" dataDxfId="222"/>
    <tableColumn id="78" xr3:uid="{00000000-0010-0000-0000-00004E000000}" name="html.illustrationparas" dataDxfId="221"/>
    <tableColumn id="79" xr3:uid="{00000000-0010-0000-0000-00004F000000}" name="html.imageholders" dataDxfId="220"/>
    <tableColumn id="80" xr3:uid="{00000000-0010-0000-0000-000050000000}" name="html.captionparas" dataDxfId="219"/>
    <tableColumn id="81" xr3:uid="{00000000-0010-0000-0000-000051000000}" name="html.illustrationsrcparas" dataDxfId="218"/>
    <tableColumn id="82" xr3:uid="{00000000-0010-0000-0000-000052000000}" name="html.unorderedlistparaslevel1" dataDxfId="217"/>
    <tableColumn id="83" xr3:uid="{00000000-0010-0000-0000-000053000000}" name="html.orderedlistparaslevel1" dataDxfId="216"/>
    <tableColumn id="84" xr3:uid="{00000000-0010-0000-0000-000054000000}" name="html.unorderedlistparaslevel2" dataDxfId="215"/>
    <tableColumn id="85" xr3:uid="{00000000-0010-0000-0000-000055000000}" name="html.orderedlistparaslevel2" dataDxfId="214"/>
    <tableColumn id="101" xr3:uid="{00000000-0010-0000-0000-000065000000}" name="html.unorderedlistparaslevel3" dataDxfId="213"/>
    <tableColumn id="102" xr3:uid="{00000000-0010-0000-0000-000066000000}" name="html.orderedlistparaslevel3" dataDxfId="212"/>
    <tableColumn id="103" xr3:uid="{00000000-0010-0000-0000-000067000000}" name="html.listparaparas" dataDxfId="211"/>
    <tableColumn id="97" xr3:uid="{00000000-0010-0000-0000-000061000000}" name="html.chaptertitleparas" dataDxfId="210"/>
    <tableColumn id="98" xr3:uid="{00000000-0010-0000-0000-000062000000}" name="html.chapternumberparas" dataDxfId="209"/>
    <tableColumn id="86" xr3:uid="{00000000-0010-0000-0000-000056000000}" name="html.omitparas" dataDxfId="208"/>
    <tableColumn id="87" xr3:uid="{00000000-0010-0000-0000-000057000000}" name="html.versatileblockparas" dataDxfId="207"/>
    <tableColumn id="88" xr3:uid="{00000000-0010-0000-0000-000058000000}" name="html.toplevelheads.type" dataDxfId="206"/>
    <tableColumn id="93" xr3:uid="{00000000-0010-0000-0000-00005D000000}" name="html.toplevelheads.label" dataDxfId="205"/>
    <tableColumn id="107" xr3:uid="{00000000-0010-0000-0000-00006B000000}" name="html.toplevelheads.tocexclude" dataDxfId="204"/>
    <tableColumn id="89" xr3:uid="{00000000-0010-0000-0000-000059000000}" name="html.toplevelheads.class" dataDxfId="203"/>
    <tableColumn id="106" xr3:uid="{00000000-0010-0000-0000-00006A000000}" name="no_export.class" dataDxfId="202"/>
    <tableColumn id="91" xr3:uid="{00000000-0010-0000-0000-00005B000000}" name="html.legacy" dataDxfId="201"/>
    <tableColumn id="94" xr3:uid="{00000000-0010-0000-0000-00005E000000}" name="vba.sections_menu" dataDxfId="200"/>
    <tableColumn id="77" xr3:uid="{00000000-0010-0000-0000-00004D000000}" name="vba.breaks_menu" dataDxfId="199"/>
    <tableColumn id="76" xr3:uid="{00000000-0010-0000-0000-00004C000000}" name="vba.containers_menu" dataDxfId="198"/>
    <tableColumn id="96" xr3:uid="{00000000-0010-0000-0000-000060000000}" name="vba.bookmakerstyles" dataDxfId="197"/>
    <tableColumn id="92" xr3:uid="{00000000-0010-0000-0000-00005C000000}" name="vba.allowedblankparas" dataDxfId="196"/>
    <tableColumn id="95" xr3:uid="{00000000-0010-0000-0000-00005F000000}" name="vba.sectionstarts" dataDxfId="19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51"/>
  <sheetViews>
    <sheetView tabSelected="1" zoomScaleNormal="100" workbookViewId="0">
      <pane xSplit="1" topLeftCell="CR1" activePane="topRight" state="frozen"/>
      <selection pane="topRight" activeCell="CV91" sqref="CV91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73" t="s">
        <v>76</v>
      </c>
      <c r="C1" s="74"/>
      <c r="D1" s="75"/>
      <c r="E1" s="76" t="s">
        <v>77</v>
      </c>
      <c r="F1" s="76"/>
      <c r="G1" s="76"/>
      <c r="H1" s="76"/>
      <c r="I1" s="77" t="s">
        <v>78</v>
      </c>
      <c r="J1" s="78"/>
      <c r="K1" s="78"/>
      <c r="L1" s="78"/>
      <c r="M1" s="78"/>
      <c r="N1" s="78"/>
      <c r="O1" s="78"/>
      <c r="P1" s="78"/>
      <c r="Q1" s="78"/>
      <c r="R1" s="79"/>
      <c r="S1" s="80" t="s">
        <v>79</v>
      </c>
      <c r="T1" s="80"/>
      <c r="U1" s="80"/>
      <c r="V1" s="80"/>
      <c r="W1" s="80"/>
      <c r="X1" s="83" t="s">
        <v>80</v>
      </c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5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91" t="s">
        <v>82</v>
      </c>
      <c r="BJ1" s="92"/>
      <c r="BK1" s="92"/>
      <c r="BL1" s="93"/>
      <c r="BM1" s="94" t="s">
        <v>88</v>
      </c>
      <c r="BN1" s="95"/>
      <c r="BO1" s="95"/>
      <c r="BP1" s="73" t="s">
        <v>293</v>
      </c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90"/>
      <c r="CW1" s="86" t="s">
        <v>320</v>
      </c>
      <c r="CX1" s="87"/>
      <c r="CY1" s="87"/>
      <c r="CZ1" s="87"/>
      <c r="DA1" s="87"/>
      <c r="DB1" s="88"/>
    </row>
    <row r="2" spans="1:106" s="4" customFormat="1" ht="93.6">
      <c r="A2" s="21" t="s">
        <v>206</v>
      </c>
      <c r="B2" s="20" t="s">
        <v>208</v>
      </c>
      <c r="C2" s="71" t="s">
        <v>331</v>
      </c>
      <c r="D2" s="72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1" t="s">
        <v>199</v>
      </c>
      <c r="T2" s="81"/>
      <c r="U2" s="81"/>
      <c r="V2" s="81"/>
      <c r="W2" s="82"/>
      <c r="X2" s="15" t="s">
        <v>57</v>
      </c>
      <c r="Y2" s="15" t="s">
        <v>57</v>
      </c>
      <c r="Z2" s="21" t="s">
        <v>789</v>
      </c>
      <c r="AA2" s="21" t="s">
        <v>790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791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58" t="s">
        <v>246</v>
      </c>
      <c r="CV2" s="27" t="s">
        <v>784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59" t="s">
        <v>787</v>
      </c>
      <c r="AA3" s="59" t="s">
        <v>788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59" t="s">
        <v>296</v>
      </c>
      <c r="CV3" s="28" t="s">
        <v>783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8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5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57" t="str">
        <f t="shared" ref="CU4:CU77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7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57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7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57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7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57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7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57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7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57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7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57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4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0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57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7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57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7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57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7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57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7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57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7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57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7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57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7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57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1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57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61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57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62" t="s">
        <v>829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786</v>
      </c>
      <c r="CU21" s="57" t="str">
        <f>"."&amp;SUBSTITUTE(SUBSTITUTE(SUBSTITUTE(SUBSTITUTE(A21, "(",""),")","")," ",""),"#","")</f>
        <v>.Section-Chapter2SCP2</v>
      </c>
      <c r="CW21" s="7" t="s">
        <v>830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61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57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61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57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4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6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57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64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6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57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4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6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57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64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6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57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64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6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57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64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6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57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64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6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57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64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6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57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64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0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57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64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6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57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4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6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57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64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6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57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800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64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6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260</v>
      </c>
      <c r="CR36" s="7" t="s">
        <v>804</v>
      </c>
      <c r="CS36" s="7" t="b">
        <v>1</v>
      </c>
      <c r="CT36" s="7" t="s">
        <v>814</v>
      </c>
      <c r="CU36" s="57" t="str">
        <f t="shared" si="1"/>
        <v>.Section-Illustration-CreditsSIC</v>
      </c>
      <c r="CW36" s="7" t="s">
        <v>804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802</v>
      </c>
      <c r="D37" s="9" t="s">
        <v>801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64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6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260</v>
      </c>
      <c r="CR37" s="7" t="s">
        <v>803</v>
      </c>
      <c r="CS37" s="7" t="b">
        <v>1</v>
      </c>
      <c r="CT37" s="7" t="s">
        <v>805</v>
      </c>
      <c r="CU37" s="57" t="str">
        <f t="shared" si="1"/>
        <v>.Section-PermissionsSPRM</v>
      </c>
      <c r="CW37" s="7" t="s">
        <v>803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61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0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61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0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61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0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61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0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61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0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61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0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61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0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61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0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61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0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61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0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61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0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61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0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61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0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61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0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61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0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61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0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61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0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792</v>
      </c>
      <c r="D55" s="7" t="s">
        <v>793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61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0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61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0" t="str">
        <f t="shared" si="1"/>
        <v>.Verse1Vrs1</v>
      </c>
    </row>
    <row r="57" spans="1:104">
      <c r="A57" s="37" t="str">
        <f t="shared" si="0"/>
        <v>Verse1-Dropline (V1drop)</v>
      </c>
      <c r="C57" s="7" t="s">
        <v>820</v>
      </c>
      <c r="D57" s="7" t="s">
        <v>819</v>
      </c>
      <c r="E57" s="7" t="s">
        <v>451</v>
      </c>
      <c r="F57" s="5">
        <v>1</v>
      </c>
      <c r="G57" s="7" t="b">
        <v>1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36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61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0" t="str">
        <f t="shared" ref="CU57" si="2">"."&amp;SUBSTITUTE(SUBSTITUTE(SUBSTITUTE(SUBSTITUTE(A57, "(",""),")","")," ",""),"#","")</f>
        <v>.Verse1-DroplineV1drop</v>
      </c>
    </row>
    <row r="58" spans="1:104">
      <c r="A58" s="37" t="str">
        <f t="shared" si="0"/>
        <v>Verse1-indent1 (Vrs1-i1)</v>
      </c>
      <c r="C58" s="7" t="s">
        <v>436</v>
      </c>
      <c r="D58" s="7" t="s">
        <v>440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61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0" t="str">
        <f t="shared" si="1"/>
        <v>.Verse1-indent1Vrs1-i1</v>
      </c>
    </row>
    <row r="59" spans="1:104">
      <c r="A59" s="37" t="str">
        <f t="shared" si="0"/>
        <v>Verse1-indent2 (Vrs1-i2)</v>
      </c>
      <c r="C59" s="7" t="s">
        <v>437</v>
      </c>
      <c r="D59" s="7" t="s">
        <v>441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61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0" t="str">
        <f t="shared" si="1"/>
        <v>.Verse1-indent2Vrs1-i2</v>
      </c>
    </row>
    <row r="60" spans="1:104">
      <c r="A60" s="37" t="str">
        <f t="shared" si="0"/>
        <v>Verse1-indent3 (Vrs1-i3)</v>
      </c>
      <c r="C60" s="7" t="s">
        <v>438</v>
      </c>
      <c r="D60" s="7" t="s">
        <v>442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61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0" t="str">
        <f t="shared" si="1"/>
        <v>.Verse1-indent3Vrs1-i3</v>
      </c>
    </row>
    <row r="61" spans="1:104">
      <c r="A61" s="37" t="str">
        <f t="shared" ref="A61:A62" si="3">IF($D61="","",TRIM($C61)&amp;" "&amp;CHAR(40)&amp;TRIM($D61)&amp;CHAR(41))</f>
        <v>Verse1-indent4 (Vrs1-i4)</v>
      </c>
      <c r="C61" s="7" t="s">
        <v>806</v>
      </c>
      <c r="D61" s="7" t="s">
        <v>808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180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61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0" t="str">
        <f t="shared" ref="CU61:CU62" si="4">"."&amp;SUBSTITUTE(SUBSTITUTE(SUBSTITUTE(SUBSTITUTE(A61, "(",""),")","")," ",""),"#","")</f>
        <v>.Verse1-indent4Vrs1-i4</v>
      </c>
    </row>
    <row r="62" spans="1:104">
      <c r="A62" s="37" t="str">
        <f t="shared" si="3"/>
        <v>Verse1-indent5 (Vrs1-i5)</v>
      </c>
      <c r="C62" s="7" t="s">
        <v>807</v>
      </c>
      <c r="D62" s="7" t="s">
        <v>809</v>
      </c>
      <c r="E62" s="7" t="s">
        <v>451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216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61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0" t="str">
        <f t="shared" si="4"/>
        <v>.Verse1-indent5Vrs1-i5</v>
      </c>
    </row>
    <row r="63" spans="1:104">
      <c r="A63" s="37" t="str">
        <f t="shared" si="0"/>
        <v>Verse2 (Vrs2)</v>
      </c>
      <c r="C63" s="7" t="s">
        <v>443</v>
      </c>
      <c r="D63" s="7" t="s">
        <v>444</v>
      </c>
      <c r="E63" s="7" t="s">
        <v>452</v>
      </c>
      <c r="F63" s="5">
        <v>1</v>
      </c>
      <c r="G63" s="7" t="b">
        <v>1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61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0" t="str">
        <f t="shared" si="1"/>
        <v>.Verse2Vrs2</v>
      </c>
    </row>
    <row r="64" spans="1:104">
      <c r="A64" s="37" t="str">
        <f t="shared" si="0"/>
        <v>Verse2-Dropline (V2drop)</v>
      </c>
      <c r="C64" s="7" t="s">
        <v>817</v>
      </c>
      <c r="D64" s="7" t="s">
        <v>818</v>
      </c>
      <c r="E64" s="7" t="s">
        <v>452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61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0" t="str">
        <f t="shared" ref="CU64" si="5">"."&amp;SUBSTITUTE(SUBSTITUTE(SUBSTITUTE(SUBSTITUTE(A64, "(",""),")","")," ",""),"#","")</f>
        <v>.Verse2-DroplineV2drop</v>
      </c>
    </row>
    <row r="65" spans="1:99">
      <c r="A65" s="37" t="str">
        <f t="shared" si="0"/>
        <v>Verse2-indent1 (Vrs2-i1)</v>
      </c>
      <c r="C65" s="7" t="s">
        <v>445</v>
      </c>
      <c r="D65" s="7" t="s">
        <v>448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72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61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0" t="str">
        <f t="shared" si="1"/>
        <v>.Verse2-indent1Vrs2-i1</v>
      </c>
    </row>
    <row r="66" spans="1:99">
      <c r="A66" s="37" t="str">
        <f t="shared" si="0"/>
        <v>Verse2-indent2 (Vrs2-i2)</v>
      </c>
      <c r="C66" s="7" t="s">
        <v>446</v>
      </c>
      <c r="D66" s="7" t="s">
        <v>449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108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61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0" t="str">
        <f t="shared" si="1"/>
        <v>.Verse2-indent2Vrs2-i2</v>
      </c>
    </row>
    <row r="67" spans="1:99">
      <c r="A67" s="37" t="str">
        <f t="shared" si="0"/>
        <v>Verse2-indent3 (Vrs2-i3)</v>
      </c>
      <c r="C67" s="7" t="s">
        <v>447</v>
      </c>
      <c r="D67" s="7" t="s">
        <v>450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144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61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0" t="str">
        <f t="shared" si="1"/>
        <v>.Verse2-indent3Vrs2-i3</v>
      </c>
    </row>
    <row r="68" spans="1:99">
      <c r="A68" s="37" t="str">
        <f t="shared" ref="A68:A69" si="6">IF($D68="","",TRIM($C68)&amp;" "&amp;CHAR(40)&amp;TRIM($D68)&amp;CHAR(41))</f>
        <v>Verse2-indent4 (Vrs2-i4)</v>
      </c>
      <c r="C68" s="7" t="s">
        <v>810</v>
      </c>
      <c r="D68" s="7" t="s">
        <v>811</v>
      </c>
      <c r="E68" s="7" t="s">
        <v>452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180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61" t="s">
        <v>739</v>
      </c>
      <c r="AT68" s="5">
        <v>7</v>
      </c>
      <c r="AU68" s="7">
        <v>18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0" t="str">
        <f t="shared" ref="CU68:CU69" si="7">"."&amp;SUBSTITUTE(SUBSTITUTE(SUBSTITUTE(SUBSTITUTE(A68, "(",""),")","")," ",""),"#","")</f>
        <v>.Verse2-indent4Vrs2-i4</v>
      </c>
    </row>
    <row r="69" spans="1:99">
      <c r="A69" s="37" t="str">
        <f t="shared" si="6"/>
        <v>Verse2-indent5 (Vrs2-i5)</v>
      </c>
      <c r="C69" s="7" t="s">
        <v>812</v>
      </c>
      <c r="D69" s="7" t="s">
        <v>813</v>
      </c>
      <c r="E69" s="7" t="s">
        <v>452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216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61" t="s">
        <v>739</v>
      </c>
      <c r="AT69" s="5">
        <v>7</v>
      </c>
      <c r="AU69" s="7">
        <v>18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Y69" s="7" t="b">
        <v>1</v>
      </c>
      <c r="CU69" s="60" t="str">
        <f t="shared" si="7"/>
        <v>.Verse2-indent5Vrs2-i5</v>
      </c>
    </row>
    <row r="70" spans="1:99">
      <c r="A70" s="37" t="str">
        <f t="shared" si="0"/>
        <v>Verse-Source (Vsrc)</v>
      </c>
      <c r="C70" s="7" t="s">
        <v>794</v>
      </c>
      <c r="D70" s="7" t="s">
        <v>795</v>
      </c>
      <c r="E70" s="7" t="s">
        <v>426</v>
      </c>
      <c r="F70" s="5">
        <v>1</v>
      </c>
      <c r="G70" s="7" t="b">
        <v>0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2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61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Y70" s="7" t="b">
        <v>1</v>
      </c>
      <c r="CU70" s="60" t="str">
        <f t="shared" ref="CU70" si="8">"."&amp;SUBSTITUTE(SUBSTITUTE(SUBSTITUTE(SUBSTITUTE(A70, "(",""),")","")," ",""),"#","")</f>
        <v>.Verse-SourceVsrc</v>
      </c>
    </row>
    <row r="71" spans="1:99">
      <c r="A71" s="37" t="str">
        <f t="shared" si="0"/>
        <v>Quotation (Quo)</v>
      </c>
      <c r="C71" s="7" t="s">
        <v>348</v>
      </c>
      <c r="D71" s="7" t="s">
        <v>562</v>
      </c>
      <c r="E71" s="7" t="s">
        <v>563</v>
      </c>
      <c r="F71" s="5">
        <v>1</v>
      </c>
      <c r="G71" s="7" t="b">
        <v>0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61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CU71" s="60" t="str">
        <f t="shared" si="1"/>
        <v>.QuotationQuo</v>
      </c>
    </row>
    <row r="72" spans="1:99">
      <c r="A72" s="37" t="str">
        <f t="shared" si="0"/>
        <v>Extract-Head (Exthead)</v>
      </c>
      <c r="C72" s="7" t="s">
        <v>815</v>
      </c>
      <c r="D72" s="7" t="s">
        <v>816</v>
      </c>
      <c r="E72" s="7" t="s">
        <v>457</v>
      </c>
      <c r="F72" s="5">
        <v>1</v>
      </c>
      <c r="G72" s="7" t="b">
        <v>0</v>
      </c>
      <c r="H72" s="5">
        <v>1</v>
      </c>
      <c r="I72" s="5" t="s">
        <v>67</v>
      </c>
      <c r="J72" s="5">
        <v>14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6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61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0" t="str">
        <f t="shared" ref="CU72" si="9">"."&amp;SUBSTITUTE(SUBSTITUTE(SUBSTITUTE(SUBSTITUTE(A72, "(",""),")","")," ",""),"#","")</f>
        <v>.Extract-HeadExthead</v>
      </c>
    </row>
    <row r="73" spans="1:99">
      <c r="A73" s="37" t="str">
        <f t="shared" si="0"/>
        <v>Extract1 (Ext1)</v>
      </c>
      <c r="C73" s="7" t="s">
        <v>453</v>
      </c>
      <c r="D73" s="7" t="s">
        <v>454</v>
      </c>
      <c r="E73" s="7" t="s">
        <v>457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61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0" t="str">
        <f t="shared" si="1"/>
        <v>.Extract1Ext1</v>
      </c>
    </row>
    <row r="74" spans="1:99">
      <c r="A74" s="37" t="str">
        <f t="shared" si="0"/>
        <v>Extract2 (Ext2)</v>
      </c>
      <c r="C74" s="7" t="s">
        <v>455</v>
      </c>
      <c r="D74" s="7" t="s">
        <v>456</v>
      </c>
      <c r="E74" s="7" t="s">
        <v>458</v>
      </c>
      <c r="F74" s="5">
        <v>1</v>
      </c>
      <c r="G74" s="7" t="b">
        <v>1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36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61" t="s">
        <v>739</v>
      </c>
      <c r="AT74" s="5">
        <v>7</v>
      </c>
      <c r="AU74" s="7">
        <v>18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BW74" s="7" t="b">
        <v>1</v>
      </c>
      <c r="CU74" s="60" t="str">
        <f t="shared" si="1"/>
        <v>.Extract2Ext2</v>
      </c>
    </row>
    <row r="75" spans="1:99">
      <c r="A75" s="37" t="str">
        <f t="shared" si="0"/>
        <v>Extract3 (Ext3)</v>
      </c>
      <c r="C75" s="7" t="s">
        <v>743</v>
      </c>
      <c r="D75" s="7" t="s">
        <v>745</v>
      </c>
      <c r="E75" s="7" t="s">
        <v>747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61" t="s">
        <v>739</v>
      </c>
      <c r="AT75" s="5">
        <v>8</v>
      </c>
      <c r="AU75" s="7">
        <v>18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W75" s="7" t="b">
        <v>1</v>
      </c>
      <c r="CU75" s="60" t="str">
        <f t="shared" si="1"/>
        <v>.Extract3Ext3</v>
      </c>
    </row>
    <row r="76" spans="1:99">
      <c r="A76" s="37" t="str">
        <f t="shared" si="0"/>
        <v>Extract4 (Ext4)</v>
      </c>
      <c r="C76" s="7" t="s">
        <v>744</v>
      </c>
      <c r="D76" s="7" t="s">
        <v>746</v>
      </c>
      <c r="E76" s="7" t="s">
        <v>748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36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61" t="s">
        <v>739</v>
      </c>
      <c r="AT76" s="5">
        <v>12</v>
      </c>
      <c r="AU76" s="7">
        <v>18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W76" s="7" t="b">
        <v>1</v>
      </c>
      <c r="CU76" s="60" t="str">
        <f t="shared" si="1"/>
        <v>.Extract4Ext4</v>
      </c>
    </row>
    <row r="77" spans="1:99">
      <c r="A77" s="37" t="str">
        <f t="shared" si="0"/>
        <v>Source (Src)</v>
      </c>
      <c r="C77" s="7" t="s">
        <v>349</v>
      </c>
      <c r="D77" s="7" t="s">
        <v>350</v>
      </c>
      <c r="E77" s="7" t="s">
        <v>426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61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0" t="str">
        <f t="shared" si="1"/>
        <v>.SourceSrc</v>
      </c>
    </row>
    <row r="78" spans="1:99">
      <c r="A78" s="37" t="str">
        <f t="shared" si="0"/>
        <v>Epigraph-Non-Verse (Epi)</v>
      </c>
      <c r="C78" s="7" t="s">
        <v>459</v>
      </c>
      <c r="D78" s="7" t="s">
        <v>460</v>
      </c>
      <c r="E78" s="7" t="s">
        <v>461</v>
      </c>
      <c r="F78" s="5">
        <v>1</v>
      </c>
      <c r="G78" s="7" t="b">
        <v>1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36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0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61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BX78" s="7" t="b">
        <v>1</v>
      </c>
      <c r="CU78" s="60" t="str">
        <f t="shared" ref="CU78:CU145" si="10">"."&amp;SUBSTITUTE(SUBSTITUTE(SUBSTITUTE(SUBSTITUTE(A78, "(",""),")","")," ",""),"#","")</f>
        <v>.Epigraph-Non-VerseEpi</v>
      </c>
    </row>
    <row r="79" spans="1:99">
      <c r="A79" s="37" t="str">
        <f t="shared" si="0"/>
        <v>Epigraph-Verse (Epiv)</v>
      </c>
      <c r="C79" s="7" t="s">
        <v>462</v>
      </c>
      <c r="D79" s="7" t="s">
        <v>463</v>
      </c>
      <c r="E79" s="7" t="s">
        <v>464</v>
      </c>
      <c r="F79" s="5">
        <v>1</v>
      </c>
      <c r="G79" s="7" t="b">
        <v>1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61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BX79" s="7" t="b">
        <v>1</v>
      </c>
      <c r="CU79" s="60" t="str">
        <f t="shared" si="10"/>
        <v>.Epigraph-VerseEpiv</v>
      </c>
    </row>
    <row r="80" spans="1:99">
      <c r="A80" s="37" t="str">
        <f t="shared" si="0"/>
        <v>Epigraph-Source (Episrc)</v>
      </c>
      <c r="C80" s="7" t="s">
        <v>465</v>
      </c>
      <c r="D80" s="7" t="s">
        <v>692</v>
      </c>
      <c r="E80" s="7" t="s">
        <v>426</v>
      </c>
      <c r="F80" s="5">
        <v>1</v>
      </c>
      <c r="G80" s="7" t="b">
        <v>1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2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61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BX80" s="7" t="b">
        <v>1</v>
      </c>
      <c r="CU80" s="60" t="str">
        <f t="shared" si="10"/>
        <v>.Epigraph-SourceEpisrc</v>
      </c>
    </row>
    <row r="81" spans="1:100">
      <c r="A81" s="37" t="str">
        <f t="shared" si="0"/>
        <v>Headnote (Hdnt)</v>
      </c>
      <c r="C81" s="7" t="s">
        <v>337</v>
      </c>
      <c r="D81" s="7" t="s">
        <v>586</v>
      </c>
      <c r="E81" s="7" t="s">
        <v>426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0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1</v>
      </c>
      <c r="AJ81" s="7">
        <v>36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61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0" t="str">
        <f t="shared" si="10"/>
        <v>.HeadnoteHdnt</v>
      </c>
    </row>
    <row r="82" spans="1:100">
      <c r="A82" s="37" t="str">
        <f t="shared" si="0"/>
        <v>Dateline (Date)</v>
      </c>
      <c r="C82" s="7" t="s">
        <v>351</v>
      </c>
      <c r="D82" s="7" t="s">
        <v>352</v>
      </c>
      <c r="E82" s="7" t="s">
        <v>577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61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0" t="str">
        <f t="shared" si="10"/>
        <v>.DatelineDate</v>
      </c>
    </row>
    <row r="83" spans="1:100">
      <c r="A83" s="37" t="str">
        <f t="shared" si="0"/>
        <v>Address (Add)</v>
      </c>
      <c r="C83" s="7" t="s">
        <v>202</v>
      </c>
      <c r="D83" s="7" t="s">
        <v>353</v>
      </c>
      <c r="E83" s="37" t="str">
        <f t="shared" ref="E83:E135" si="11">IF($D83="","",TRIM($C83)&amp;" "&amp;CHAR(40)&amp;TRIM($D83)&amp;CHAR(41))</f>
        <v>Address (Add)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61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0" t="str">
        <f t="shared" si="10"/>
        <v>.AddressAdd</v>
      </c>
    </row>
    <row r="84" spans="1:100">
      <c r="A84" s="37" t="str">
        <f t="shared" si="0"/>
        <v>Location (Loc)</v>
      </c>
      <c r="C84" s="7" t="s">
        <v>354</v>
      </c>
      <c r="D84" s="7" t="s">
        <v>355</v>
      </c>
      <c r="E84" s="37" t="str">
        <f t="shared" si="11"/>
        <v>Location (Loc)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61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0" t="str">
        <f t="shared" si="10"/>
        <v>.LocationLoc</v>
      </c>
    </row>
    <row r="85" spans="1:100">
      <c r="A85" s="37" t="str">
        <f t="shared" si="0"/>
        <v>Signature (Sig)</v>
      </c>
      <c r="C85" s="7" t="s">
        <v>356</v>
      </c>
      <c r="D85" s="7" t="s">
        <v>357</v>
      </c>
      <c r="E85" s="37" t="str">
        <f t="shared" si="11"/>
        <v>Signature (Sig)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2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61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0" t="str">
        <f t="shared" si="10"/>
        <v>.SignatureSig</v>
      </c>
    </row>
    <row r="86" spans="1:100">
      <c r="A86" s="37" t="str">
        <f t="shared" si="0"/>
        <v>Salutation (Sal)</v>
      </c>
      <c r="C86" s="7" t="s">
        <v>358</v>
      </c>
      <c r="D86" s="7" t="s">
        <v>359</v>
      </c>
      <c r="E86" s="37" t="str">
        <f t="shared" si="11"/>
        <v>Salutation (Sal)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61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0" t="str">
        <f t="shared" si="10"/>
        <v>.SalutationSal</v>
      </c>
    </row>
    <row r="87" spans="1:100">
      <c r="A87" s="37" t="str">
        <f t="shared" si="0"/>
        <v>Closing (Clos)</v>
      </c>
      <c r="C87" s="7" t="s">
        <v>360</v>
      </c>
      <c r="D87" s="7" t="s">
        <v>587</v>
      </c>
      <c r="E87" s="37" t="str">
        <f t="shared" si="11"/>
        <v>Closing (Clos)</v>
      </c>
      <c r="F87" s="5">
        <v>1</v>
      </c>
      <c r="G87" s="7" t="b">
        <v>0</v>
      </c>
      <c r="H87" s="5">
        <v>1</v>
      </c>
      <c r="I87" s="5" t="s">
        <v>66</v>
      </c>
      <c r="J87" s="5">
        <v>12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2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61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0" t="str">
        <f t="shared" si="10"/>
        <v>.ClosingClos</v>
      </c>
    </row>
    <row r="88" spans="1:100">
      <c r="A88" s="37" t="str">
        <f t="shared" si="0"/>
        <v>Postscript (Pst)</v>
      </c>
      <c r="C88" s="7" t="s">
        <v>361</v>
      </c>
      <c r="D88" s="7" t="s">
        <v>362</v>
      </c>
      <c r="E88" s="37" t="str">
        <f t="shared" si="11"/>
        <v>Postscript (Pst)</v>
      </c>
      <c r="F88" s="5">
        <v>1</v>
      </c>
      <c r="G88" s="7" t="b">
        <v>0</v>
      </c>
      <c r="H88" s="5">
        <v>1</v>
      </c>
      <c r="I88" s="5" t="s">
        <v>66</v>
      </c>
      <c r="J88" s="5">
        <v>12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61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0" t="str">
        <f t="shared" si="10"/>
        <v>.PostscriptPst</v>
      </c>
    </row>
    <row r="89" spans="1:100">
      <c r="A89" s="37" t="str">
        <f t="shared" si="0"/>
        <v>Dedication (Ded)</v>
      </c>
      <c r="C89" s="7" t="s">
        <v>204</v>
      </c>
      <c r="D89" s="7" t="s">
        <v>363</v>
      </c>
      <c r="E89" s="37" t="str">
        <f t="shared" si="11"/>
        <v>Dedication (Ded)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61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0" t="str">
        <f t="shared" si="10"/>
        <v>.DedicationDed</v>
      </c>
    </row>
    <row r="90" spans="1:100">
      <c r="A90" s="37" t="str">
        <f t="shared" si="0"/>
        <v>Text-Message (Tmg)</v>
      </c>
      <c r="C90" s="7" t="s">
        <v>364</v>
      </c>
      <c r="D90" s="7" t="s">
        <v>365</v>
      </c>
      <c r="E90" s="37" t="str">
        <f t="shared" si="11"/>
        <v>Text-Message (Tmg)</v>
      </c>
      <c r="F90" s="5">
        <v>1</v>
      </c>
      <c r="G90" s="7" t="b">
        <v>0</v>
      </c>
      <c r="H90" s="5">
        <v>1</v>
      </c>
      <c r="I90" s="5" t="s">
        <v>71</v>
      </c>
      <c r="J90" s="5">
        <v>11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36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61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0" t="str">
        <f t="shared" si="10"/>
        <v>.Text-MessageTmg</v>
      </c>
      <c r="CV90" s="7" t="b">
        <v>1</v>
      </c>
    </row>
    <row r="91" spans="1:100">
      <c r="A91" s="37" t="str">
        <f t="shared" si="0"/>
        <v>Text-Message1 (Tmg1)</v>
      </c>
      <c r="C91" s="7" t="s">
        <v>837</v>
      </c>
      <c r="D91" s="7" t="s">
        <v>839</v>
      </c>
      <c r="E91" s="37" t="str">
        <f t="shared" si="11"/>
        <v>Text-Message1 (Tmg1)</v>
      </c>
      <c r="F91" s="5">
        <v>1</v>
      </c>
      <c r="G91" s="7" t="b">
        <v>0</v>
      </c>
      <c r="H91" s="5">
        <v>1</v>
      </c>
      <c r="I91" s="5" t="s">
        <v>71</v>
      </c>
      <c r="J91" s="5">
        <v>11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61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0" t="str">
        <f t="shared" ref="CU91:CU92" si="12">"."&amp;SUBSTITUTE(SUBSTITUTE(SUBSTITUTE(SUBSTITUTE(A91, "(",""),")","")," ",""),"#","")</f>
        <v>.Text-Message1Tmg1</v>
      </c>
    </row>
    <row r="92" spans="1:100">
      <c r="A92" s="37" t="str">
        <f t="shared" si="0"/>
        <v>Text-Message2 (Tmg2)</v>
      </c>
      <c r="C92" s="7" t="s">
        <v>838</v>
      </c>
      <c r="D92" s="7" t="s">
        <v>840</v>
      </c>
      <c r="E92" s="37" t="str">
        <f t="shared" si="11"/>
        <v>Text-Message2 (Tmg2)</v>
      </c>
      <c r="F92" s="5">
        <v>1</v>
      </c>
      <c r="G92" s="7" t="b">
        <v>0</v>
      </c>
      <c r="H92" s="5">
        <v>1</v>
      </c>
      <c r="I92" s="5" t="s">
        <v>71</v>
      </c>
      <c r="J92" s="5">
        <v>11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36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2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61" t="s">
        <v>739</v>
      </c>
      <c r="AT92" s="5">
        <v>1</v>
      </c>
      <c r="AU92" s="7">
        <v>36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0" t="str">
        <f t="shared" si="12"/>
        <v>.Text-Message2Tmg2</v>
      </c>
    </row>
    <row r="93" spans="1:100">
      <c r="A93" s="37" t="str">
        <f t="shared" si="0"/>
        <v>Computer-Text (Comp)</v>
      </c>
      <c r="C93" s="7" t="s">
        <v>466</v>
      </c>
      <c r="D93" s="7" t="s">
        <v>467</v>
      </c>
      <c r="E93" s="37" t="s">
        <v>468</v>
      </c>
      <c r="F93" s="5">
        <v>1</v>
      </c>
      <c r="G93" s="7" t="b">
        <v>0</v>
      </c>
      <c r="H93" s="5">
        <v>1</v>
      </c>
      <c r="I93" s="5" t="s">
        <v>71</v>
      </c>
      <c r="J93" s="5">
        <v>11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36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61" t="s">
        <v>739</v>
      </c>
      <c r="AT93" s="5">
        <v>1</v>
      </c>
      <c r="AU93" s="7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0" t="str">
        <f t="shared" si="10"/>
        <v>.Computer-TextComp</v>
      </c>
    </row>
    <row r="94" spans="1:100">
      <c r="A94" s="37" t="str">
        <f t="shared" si="0"/>
        <v>Custom1 (Cust1)</v>
      </c>
      <c r="C94" s="7" t="s">
        <v>553</v>
      </c>
      <c r="D94" s="7" t="s">
        <v>556</v>
      </c>
      <c r="E94" s="37" t="s">
        <v>560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61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0" t="str">
        <f t="shared" si="10"/>
        <v>.Custom1Cust1</v>
      </c>
    </row>
    <row r="95" spans="1:100">
      <c r="A95" s="37" t="str">
        <f t="shared" si="0"/>
        <v>Custom2 (Cust2)</v>
      </c>
      <c r="C95" s="7" t="s">
        <v>554</v>
      </c>
      <c r="D95" s="7" t="s">
        <v>555</v>
      </c>
      <c r="E95" s="37" t="s">
        <v>561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61" t="s">
        <v>739</v>
      </c>
      <c r="AT95" s="5">
        <v>7</v>
      </c>
      <c r="AU95" s="7">
        <v>18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0" t="str">
        <f t="shared" si="10"/>
        <v>.Custom2Cust2</v>
      </c>
    </row>
    <row r="96" spans="1:100">
      <c r="A96" s="37" t="str">
        <f t="shared" si="0"/>
        <v>Display1 (Disp1)</v>
      </c>
      <c r="C96" s="7" t="s">
        <v>469</v>
      </c>
      <c r="D96" s="7" t="s">
        <v>470</v>
      </c>
      <c r="E96" s="37" t="s">
        <v>471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61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0" t="str">
        <f t="shared" si="10"/>
        <v>.Display1Disp1</v>
      </c>
    </row>
    <row r="97" spans="1:99">
      <c r="A97" s="37" t="str">
        <f t="shared" si="0"/>
        <v>Display2 (Disp2)</v>
      </c>
      <c r="C97" s="7" t="s">
        <v>472</v>
      </c>
      <c r="D97" s="7" t="s">
        <v>473</v>
      </c>
      <c r="E97" s="37" t="s">
        <v>474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61" t="s">
        <v>739</v>
      </c>
      <c r="AT97" s="5">
        <v>7</v>
      </c>
      <c r="AU97" s="7">
        <v>18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0" t="str">
        <f t="shared" si="10"/>
        <v>.Display2Disp2</v>
      </c>
    </row>
    <row r="98" spans="1:99">
      <c r="A98" s="37" t="str">
        <f>IF($D98="","",TRIM($C98)&amp;" "&amp;CHAR(40)&amp;TRIM($D98)&amp;CHAR(41))</f>
        <v>Table-Head (Tbhd)</v>
      </c>
      <c r="C98" s="7" t="s">
        <v>475</v>
      </c>
      <c r="D98" s="7" t="s">
        <v>476</v>
      </c>
      <c r="E98" s="37" t="s">
        <v>477</v>
      </c>
      <c r="F98" s="5">
        <v>1</v>
      </c>
      <c r="G98" s="7" t="b">
        <v>0</v>
      </c>
      <c r="H98" s="5">
        <v>1</v>
      </c>
      <c r="I98" s="5" t="s">
        <v>1</v>
      </c>
      <c r="J98" s="5">
        <v>11</v>
      </c>
      <c r="K98" s="7" t="b">
        <v>0</v>
      </c>
      <c r="L98" s="5" t="b">
        <v>1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5" t="b">
        <v>0</v>
      </c>
      <c r="AB98" s="5" t="b">
        <v>0</v>
      </c>
      <c r="AC98" s="7">
        <v>0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61" t="s">
        <v>739</v>
      </c>
      <c r="AT98" s="5">
        <v>1</v>
      </c>
      <c r="AU98" s="7">
        <v>36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U98" s="60" t="str">
        <f t="shared" si="10"/>
        <v>.Table-HeadTbhd</v>
      </c>
    </row>
    <row r="99" spans="1:99">
      <c r="A99" s="37" t="str">
        <f>IF($D99="","",TRIM($C99)&amp;" "&amp;CHAR(40)&amp;TRIM($D99)&amp;CHAR(41))</f>
        <v>Table-Subhead (Tbsbhd)</v>
      </c>
      <c r="C99" s="7" t="s">
        <v>478</v>
      </c>
      <c r="D99" s="7" t="s">
        <v>479</v>
      </c>
      <c r="E99" s="37" t="s">
        <v>477</v>
      </c>
      <c r="F99" s="5">
        <v>1</v>
      </c>
      <c r="G99" s="7" t="b">
        <v>0</v>
      </c>
      <c r="H99" s="5">
        <v>1</v>
      </c>
      <c r="I99" s="5" t="s">
        <v>1</v>
      </c>
      <c r="J99" s="5">
        <v>11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0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61" t="s">
        <v>739</v>
      </c>
      <c r="AT99" s="5">
        <v>1</v>
      </c>
      <c r="AU99" s="7">
        <v>36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U99" s="60" t="str">
        <f t="shared" si="10"/>
        <v>.Table-SubheadTbsbhd</v>
      </c>
    </row>
    <row r="100" spans="1:99">
      <c r="A100" s="37" t="str">
        <f>IF($D100="","",TRIM($C100)&amp;" "&amp;CHAR(40)&amp;TRIM($D100)&amp;CHAR(41))</f>
        <v>Table-Text (Tbtx)</v>
      </c>
      <c r="C100" s="7" t="s">
        <v>480</v>
      </c>
      <c r="D100" s="7" t="s">
        <v>481</v>
      </c>
      <c r="E100" s="37" t="s">
        <v>477</v>
      </c>
      <c r="F100" s="5">
        <v>1</v>
      </c>
      <c r="G100" s="7" t="b">
        <v>0</v>
      </c>
      <c r="H100" s="5">
        <v>1</v>
      </c>
      <c r="I100" s="5" t="s">
        <v>1</v>
      </c>
      <c r="J100" s="5">
        <v>11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5" t="b">
        <v>0</v>
      </c>
      <c r="AB100" s="5" t="b">
        <v>0</v>
      </c>
      <c r="AC100" s="7">
        <v>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61" t="s">
        <v>739</v>
      </c>
      <c r="AT100" s="5">
        <v>1</v>
      </c>
      <c r="AU100" s="7">
        <v>36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U100" s="60" t="str">
        <f t="shared" si="10"/>
        <v>.Table-TextTbtx</v>
      </c>
    </row>
    <row r="101" spans="1:99">
      <c r="A101" s="37" t="str">
        <f>IF($D101="","",TRIM($C101)&amp;" "&amp;CHAR(40)&amp;TRIM($D101)&amp;CHAR(41))</f>
        <v>Headline (Hdline)</v>
      </c>
      <c r="C101" s="7" t="s">
        <v>482</v>
      </c>
      <c r="D101" s="7" t="s">
        <v>588</v>
      </c>
      <c r="E101" s="7" t="s">
        <v>426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1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0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1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61" t="s">
        <v>739</v>
      </c>
      <c r="AT101" s="5">
        <v>1</v>
      </c>
      <c r="AU101" s="7">
        <v>36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U101" s="60" t="str">
        <f t="shared" si="10"/>
        <v>.HeadlineHdline</v>
      </c>
    </row>
    <row r="102" spans="1:99">
      <c r="A102" s="37" t="str">
        <f t="shared" si="0"/>
        <v>Byline (Byline)</v>
      </c>
      <c r="C102" s="7" t="s">
        <v>483</v>
      </c>
      <c r="D102" s="7" t="s">
        <v>483</v>
      </c>
      <c r="E102" s="7" t="s">
        <v>426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0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0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1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61" t="s">
        <v>739</v>
      </c>
      <c r="AT102" s="5">
        <v>1</v>
      </c>
      <c r="AU102" s="7">
        <v>36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U102" s="60" t="str">
        <f t="shared" si="10"/>
        <v>.BylineByline</v>
      </c>
    </row>
    <row r="103" spans="1:99">
      <c r="A103" s="37" t="str">
        <f t="shared" si="0"/>
        <v>Bullet-Level-1-List (Bl1)</v>
      </c>
      <c r="C103" s="7" t="s">
        <v>366</v>
      </c>
      <c r="D103" s="7" t="s">
        <v>589</v>
      </c>
      <c r="E103" s="37" t="str">
        <f t="shared" si="11"/>
        <v>Bullet-Level-1-List (Bl1)</v>
      </c>
      <c r="F103" s="5">
        <v>1</v>
      </c>
      <c r="G103" s="7" t="b">
        <v>1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1</v>
      </c>
      <c r="Z103" s="5" t="b">
        <v>0</v>
      </c>
      <c r="AA103" s="5" t="b">
        <v>0</v>
      </c>
      <c r="AB103" s="5" t="b">
        <v>0</v>
      </c>
      <c r="AC103" s="7">
        <v>54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-18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61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F103" s="7" t="b">
        <v>1</v>
      </c>
      <c r="CU103" s="60" t="str">
        <f t="shared" si="10"/>
        <v>.Bullet-Level-1-ListBl1</v>
      </c>
    </row>
    <row r="104" spans="1:99">
      <c r="A104" s="37" t="str">
        <f t="shared" si="0"/>
        <v>Bullet-Level-1-List-Paragraph (Bl1p)</v>
      </c>
      <c r="C104" s="7" t="s">
        <v>484</v>
      </c>
      <c r="D104" s="7" t="s">
        <v>590</v>
      </c>
      <c r="E104" s="37" t="str">
        <f t="shared" si="11"/>
        <v>Bullet-Level-1-List-Paragraph (Bl1p)</v>
      </c>
      <c r="F104" s="5">
        <v>1</v>
      </c>
      <c r="G104" s="7" t="b">
        <v>0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54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61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F104" s="7" t="b">
        <v>1</v>
      </c>
      <c r="CL104" s="7" t="b">
        <v>1</v>
      </c>
      <c r="CU104" s="60" t="str">
        <f t="shared" si="10"/>
        <v>.Bullet-Level-1-List-ParagraphBl1p</v>
      </c>
    </row>
    <row r="105" spans="1:99">
      <c r="A105" s="37" t="str">
        <f t="shared" si="0"/>
        <v>Bullet-Level-2-List (Bl2)</v>
      </c>
      <c r="C105" s="7" t="s">
        <v>367</v>
      </c>
      <c r="D105" s="7" t="s">
        <v>591</v>
      </c>
      <c r="E105" s="37" t="str">
        <f t="shared" si="11"/>
        <v>Bullet-Level-2-List (Bl2)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1</v>
      </c>
      <c r="Z105" s="5" t="b">
        <v>0</v>
      </c>
      <c r="AA105" s="5" t="b">
        <v>0</v>
      </c>
      <c r="AB105" s="5" t="b">
        <v>0</v>
      </c>
      <c r="AC105" s="7">
        <v>90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-18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61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H105" s="7" t="b">
        <v>1</v>
      </c>
      <c r="CU105" s="60" t="str">
        <f t="shared" si="10"/>
        <v>.Bullet-Level-2-ListBl2</v>
      </c>
    </row>
    <row r="106" spans="1:99">
      <c r="A106" s="37" t="str">
        <f t="shared" si="0"/>
        <v>Bullet-Level-2-List-Paragraph (Bl2p)</v>
      </c>
      <c r="C106" s="7" t="s">
        <v>485</v>
      </c>
      <c r="D106" s="7" t="s">
        <v>592</v>
      </c>
      <c r="E106" s="37" t="str">
        <f t="shared" si="11"/>
        <v>Bullet-Level-2-List-Paragraph (Bl2p)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90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61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H106" s="7" t="b">
        <v>1</v>
      </c>
      <c r="CL106" s="7" t="b">
        <v>1</v>
      </c>
      <c r="CU106" s="60" t="str">
        <f t="shared" si="10"/>
        <v>.Bullet-Level-2-List-ParagraphBl2p</v>
      </c>
    </row>
    <row r="107" spans="1:99">
      <c r="A107" s="37" t="str">
        <f t="shared" si="0"/>
        <v>Bullet-Level-3-List (Bl3)</v>
      </c>
      <c r="C107" s="7" t="s">
        <v>368</v>
      </c>
      <c r="D107" s="7" t="s">
        <v>593</v>
      </c>
      <c r="E107" s="37" t="str">
        <f t="shared" si="11"/>
        <v>Bullet-Level-3-List (Bl3)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1</v>
      </c>
      <c r="Z107" s="5" t="b">
        <v>0</v>
      </c>
      <c r="AA107" s="5" t="b">
        <v>0</v>
      </c>
      <c r="AB107" s="5" t="b">
        <v>0</v>
      </c>
      <c r="AC107" s="7">
        <v>126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-18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61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J107" s="7" t="b">
        <v>1</v>
      </c>
      <c r="CU107" s="60" t="str">
        <f t="shared" si="10"/>
        <v>.Bullet-Level-3-ListBl3</v>
      </c>
    </row>
    <row r="108" spans="1:99">
      <c r="A108" s="37" t="str">
        <f t="shared" si="0"/>
        <v>Bullet-Level-3-List-Paragraph (Bl3p)</v>
      </c>
      <c r="C108" s="7" t="s">
        <v>486</v>
      </c>
      <c r="D108" s="7" t="s">
        <v>594</v>
      </c>
      <c r="E108" s="37" t="str">
        <f t="shared" si="11"/>
        <v>Bullet-Level-3-List-Paragraph (Bl3p)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126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61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J108" s="7" t="b">
        <v>1</v>
      </c>
      <c r="CL108" s="7" t="b">
        <v>1</v>
      </c>
      <c r="CU108" s="60" t="str">
        <f t="shared" si="10"/>
        <v>.Bullet-Level-3-List-ParagraphBl3p</v>
      </c>
    </row>
    <row r="109" spans="1:99">
      <c r="A109" s="37" t="str">
        <f t="shared" si="0"/>
        <v>Num-Level-1-List (Nl1)</v>
      </c>
      <c r="C109" s="7" t="s">
        <v>369</v>
      </c>
      <c r="D109" s="7" t="s">
        <v>595</v>
      </c>
      <c r="E109" s="37" t="str">
        <f t="shared" si="11"/>
        <v>Num-Level-1-List (Nl1)</v>
      </c>
      <c r="F109" s="5">
        <v>1</v>
      </c>
      <c r="G109" s="7" t="b">
        <v>1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1</v>
      </c>
      <c r="AA109" s="5" t="b">
        <v>0</v>
      </c>
      <c r="AB109" s="5" t="b">
        <v>0</v>
      </c>
      <c r="AC109" s="7">
        <v>54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-18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61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1</v>
      </c>
      <c r="BO109" s="5" t="b">
        <v>0</v>
      </c>
      <c r="CG109" s="7" t="b">
        <v>1</v>
      </c>
      <c r="CU109" s="60" t="str">
        <f t="shared" si="10"/>
        <v>.Num-Level-1-ListNl1</v>
      </c>
    </row>
    <row r="110" spans="1:99">
      <c r="A110" s="37" t="str">
        <f t="shared" si="0"/>
        <v>Num-Level-1-List-Paragraph (Nl1p)</v>
      </c>
      <c r="C110" s="7" t="s">
        <v>487</v>
      </c>
      <c r="D110" s="7" t="s">
        <v>596</v>
      </c>
      <c r="E110" s="37" t="str">
        <f t="shared" si="11"/>
        <v>Num-Level-1-List-Paragraph (Nl1p)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54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61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G110" s="7" t="b">
        <v>1</v>
      </c>
      <c r="CL110" s="7" t="b">
        <v>1</v>
      </c>
      <c r="CU110" s="60" t="str">
        <f t="shared" si="10"/>
        <v>.Num-Level-1-List-ParagraphNl1p</v>
      </c>
    </row>
    <row r="111" spans="1:99">
      <c r="A111" s="37" t="str">
        <f t="shared" si="0"/>
        <v>Num-Level-2-List (Nl2)</v>
      </c>
      <c r="C111" s="7" t="s">
        <v>370</v>
      </c>
      <c r="D111" s="7" t="s">
        <v>597</v>
      </c>
      <c r="E111" s="37" t="str">
        <f t="shared" si="11"/>
        <v>Num-Level-2-List (Nl2)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1</v>
      </c>
      <c r="AA111" s="5" t="b">
        <v>0</v>
      </c>
      <c r="AB111" s="5" t="b">
        <v>0</v>
      </c>
      <c r="AC111" s="7">
        <v>90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-18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61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2</v>
      </c>
      <c r="BO111" s="5" t="b">
        <v>0</v>
      </c>
      <c r="CI111" s="7" t="b">
        <v>1</v>
      </c>
      <c r="CU111" s="60" t="str">
        <f t="shared" si="10"/>
        <v>.Num-Level-2-ListNl2</v>
      </c>
    </row>
    <row r="112" spans="1:99">
      <c r="A112" s="37" t="str">
        <f t="shared" si="0"/>
        <v>Num-Level-2-List-Paragraph (Nl2p)</v>
      </c>
      <c r="C112" s="7" t="s">
        <v>488</v>
      </c>
      <c r="D112" s="7" t="s">
        <v>598</v>
      </c>
      <c r="E112" s="37" t="str">
        <f t="shared" si="11"/>
        <v>Num-Level-2-List-Paragraph (Nl2p)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90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61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I112" s="7" t="b">
        <v>1</v>
      </c>
      <c r="CL112" s="7" t="b">
        <v>1</v>
      </c>
      <c r="CU112" s="60" t="str">
        <f t="shared" si="10"/>
        <v>.Num-Level-2-List-ParagraphNl2p</v>
      </c>
    </row>
    <row r="113" spans="1:99">
      <c r="A113" s="37" t="str">
        <f t="shared" si="0"/>
        <v>Num-Level-3-List (Nl3)</v>
      </c>
      <c r="C113" s="7" t="s">
        <v>371</v>
      </c>
      <c r="D113" s="7" t="s">
        <v>599</v>
      </c>
      <c r="E113" s="37" t="str">
        <f t="shared" si="11"/>
        <v>Num-Level-3-List (Nl3)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1</v>
      </c>
      <c r="AA113" s="5" t="b">
        <v>0</v>
      </c>
      <c r="AB113" s="5" t="b">
        <v>0</v>
      </c>
      <c r="AC113" s="7">
        <v>126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-18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61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3</v>
      </c>
      <c r="BO113" s="5" t="b">
        <v>0</v>
      </c>
      <c r="CK113" s="7" t="b">
        <v>1</v>
      </c>
      <c r="CU113" s="60" t="str">
        <f t="shared" si="10"/>
        <v>.Num-Level-3-ListNl3</v>
      </c>
    </row>
    <row r="114" spans="1:99">
      <c r="A114" s="37" t="str">
        <f t="shared" si="0"/>
        <v>Num-Level-3-List-Paragraph (Nl3p)</v>
      </c>
      <c r="C114" s="7" t="s">
        <v>698</v>
      </c>
      <c r="D114" s="7" t="s">
        <v>600</v>
      </c>
      <c r="E114" s="37" t="str">
        <f t="shared" si="11"/>
        <v>Num-Level-3-List-Paragraph (Nl3p)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126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61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K114" s="7" t="b">
        <v>1</v>
      </c>
      <c r="CL114" s="7" t="b">
        <v>1</v>
      </c>
      <c r="CU114" s="60" t="str">
        <f t="shared" si="10"/>
        <v>.Num-Level-3-List-ParagraphNl3p</v>
      </c>
    </row>
    <row r="115" spans="1:99">
      <c r="A115" s="37" t="str">
        <f t="shared" si="0"/>
        <v>Unnum-Level-1-List (Ul1)</v>
      </c>
      <c r="C115" s="7" t="s">
        <v>372</v>
      </c>
      <c r="D115" s="7" t="s">
        <v>601</v>
      </c>
      <c r="E115" s="37" t="str">
        <f t="shared" si="11"/>
        <v>Unnum-Level-1-List (Ul1)</v>
      </c>
      <c r="F115" s="5">
        <v>1</v>
      </c>
      <c r="G115" s="7" t="b">
        <v>1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36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0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61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F115" s="7" t="b">
        <v>1</v>
      </c>
      <c r="CU115" s="60" t="str">
        <f t="shared" si="10"/>
        <v>.Unnum-Level-1-ListUl1</v>
      </c>
    </row>
    <row r="116" spans="1:99">
      <c r="A116" s="37" t="str">
        <f t="shared" si="0"/>
        <v>Unnum-Level-1-List-Paragraph (Ul1p)</v>
      </c>
      <c r="C116" s="7" t="s">
        <v>489</v>
      </c>
      <c r="D116" s="7" t="s">
        <v>602</v>
      </c>
      <c r="E116" s="37" t="str">
        <f t="shared" si="11"/>
        <v>Unnum-Level-1-List-Paragraph (Ul1p)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36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36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61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F116" s="7" t="b">
        <v>1</v>
      </c>
      <c r="CL116" s="7" t="b">
        <v>1</v>
      </c>
      <c r="CU116" s="60" t="str">
        <f t="shared" si="10"/>
        <v>.Unnum-Level-1-List-ParagraphUl1p</v>
      </c>
    </row>
    <row r="117" spans="1:99">
      <c r="A117" s="37" t="str">
        <f t="shared" si="0"/>
        <v>Unnum-Level-2-List (Ul2)</v>
      </c>
      <c r="C117" s="7" t="s">
        <v>373</v>
      </c>
      <c r="D117" s="7" t="s">
        <v>603</v>
      </c>
      <c r="E117" s="37" t="str">
        <f t="shared" si="11"/>
        <v>Unnum-Level-2-List (Ul2)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72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61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H117" s="7" t="b">
        <v>1</v>
      </c>
      <c r="CU117" s="60" t="str">
        <f t="shared" si="10"/>
        <v>.Unnum-Level-2-ListUl2</v>
      </c>
    </row>
    <row r="118" spans="1:99">
      <c r="A118" s="37" t="str">
        <f t="shared" si="0"/>
        <v>Unnum-Level-2-List-Paragraph (Ul2p)</v>
      </c>
      <c r="C118" s="7" t="s">
        <v>490</v>
      </c>
      <c r="D118" s="7" t="s">
        <v>604</v>
      </c>
      <c r="E118" s="37" t="str">
        <f t="shared" si="11"/>
        <v>Unnum-Level-2-List-Paragraph (Ul2p)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72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61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H118" s="7" t="b">
        <v>1</v>
      </c>
      <c r="CL118" s="7" t="b">
        <v>1</v>
      </c>
      <c r="CU118" s="60" t="str">
        <f t="shared" si="10"/>
        <v>.Unnum-Level-2-List-ParagraphUl2p</v>
      </c>
    </row>
    <row r="119" spans="1:99">
      <c r="A119" s="37" t="str">
        <f t="shared" ref="A119:A214" si="13">IF($D119="","",TRIM($C119)&amp;" "&amp;CHAR(40)&amp;TRIM($D119)&amp;CHAR(41))</f>
        <v>Unnum-Level-3-List (Ul3)</v>
      </c>
      <c r="C119" s="7" t="s">
        <v>374</v>
      </c>
      <c r="D119" s="7" t="s">
        <v>605</v>
      </c>
      <c r="E119" s="37" t="str">
        <f t="shared" si="11"/>
        <v>Unnum-Level-3-List (Ul3)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108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0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61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J119" s="7" t="b">
        <v>1</v>
      </c>
      <c r="CU119" s="60" t="str">
        <f t="shared" si="10"/>
        <v>.Unnum-Level-3-ListUl3</v>
      </c>
    </row>
    <row r="120" spans="1:99">
      <c r="A120" s="37" t="str">
        <f t="shared" si="13"/>
        <v>Unnum-Level-3-List-Paragraph (Ul3p)</v>
      </c>
      <c r="C120" s="7" t="s">
        <v>491</v>
      </c>
      <c r="D120" s="7" t="s">
        <v>606</v>
      </c>
      <c r="E120" s="37" t="str">
        <f t="shared" si="11"/>
        <v>Unnum-Level-3-List-Paragraph (Ul3p)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108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36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61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J120" s="7" t="b">
        <v>1</v>
      </c>
      <c r="CL120" s="7" t="b">
        <v>1</v>
      </c>
      <c r="CU120" s="60" t="str">
        <f t="shared" si="10"/>
        <v>.Unnum-Level-3-List-ParagraphUl3p</v>
      </c>
    </row>
    <row r="121" spans="1:99">
      <c r="A121" s="37" t="str">
        <f t="shared" si="13"/>
        <v>Alpha-Level-1-List (Al1)</v>
      </c>
      <c r="C121" s="7" t="s">
        <v>699</v>
      </c>
      <c r="D121" s="7" t="s">
        <v>607</v>
      </c>
      <c r="E121" s="37" t="str">
        <f t="shared" si="11"/>
        <v>Alpha-Level-1-List (Al1)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1</v>
      </c>
      <c r="AB121" s="5" t="b">
        <v>0</v>
      </c>
      <c r="AC121" s="7">
        <v>54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61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1</v>
      </c>
      <c r="BO121" s="5" t="b">
        <v>0</v>
      </c>
      <c r="CG121" s="7" t="b">
        <v>1</v>
      </c>
      <c r="CU121" s="60" t="str">
        <f t="shared" si="10"/>
        <v>.Alpha-Level-1-ListAl1</v>
      </c>
    </row>
    <row r="122" spans="1:99">
      <c r="A122" s="37" t="str">
        <f t="shared" si="13"/>
        <v>Alpha-Level-1-List-Paragraph (Al1p)</v>
      </c>
      <c r="C122" s="7" t="s">
        <v>693</v>
      </c>
      <c r="D122" s="7" t="s">
        <v>608</v>
      </c>
      <c r="E122" s="37" t="str">
        <f t="shared" si="11"/>
        <v>Alpha-Level-1-List-Paragraph (Al1p)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54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61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G122" s="7" t="b">
        <v>1</v>
      </c>
      <c r="CL122" s="7" t="b">
        <v>1</v>
      </c>
      <c r="CU122" s="60" t="str">
        <f t="shared" si="10"/>
        <v>.Alpha-Level-1-List-ParagraphAl1p</v>
      </c>
    </row>
    <row r="123" spans="1:99">
      <c r="A123" s="37" t="str">
        <f t="shared" si="13"/>
        <v>Alpha-Level-2-List (Al2)</v>
      </c>
      <c r="C123" s="7" t="s">
        <v>694</v>
      </c>
      <c r="D123" s="7" t="s">
        <v>609</v>
      </c>
      <c r="E123" s="37" t="str">
        <f t="shared" si="11"/>
        <v>Alpha-Level-2-List (Al2)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1</v>
      </c>
      <c r="AB123" s="5" t="b">
        <v>0</v>
      </c>
      <c r="AC123" s="7">
        <v>90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61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2</v>
      </c>
      <c r="BO123" s="5" t="b">
        <v>0</v>
      </c>
      <c r="CI123" s="7" t="b">
        <v>1</v>
      </c>
      <c r="CU123" s="60" t="str">
        <f t="shared" si="10"/>
        <v>.Alpha-Level-2-ListAl2</v>
      </c>
    </row>
    <row r="124" spans="1:99">
      <c r="A124" s="37" t="str">
        <f t="shared" si="13"/>
        <v>Alpha-Level-2-List-Paragraph (Al2p)</v>
      </c>
      <c r="C124" s="7" t="s">
        <v>695</v>
      </c>
      <c r="D124" s="7" t="s">
        <v>610</v>
      </c>
      <c r="E124" s="37" t="str">
        <f t="shared" si="11"/>
        <v>Alpha-Level-2-List-Paragraph (Al2p)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90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61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I124" s="7" t="b">
        <v>1</v>
      </c>
      <c r="CL124" s="7" t="b">
        <v>1</v>
      </c>
      <c r="CU124" s="60" t="str">
        <f t="shared" si="10"/>
        <v>.Alpha-Level-2-List-ParagraphAl2p</v>
      </c>
    </row>
    <row r="125" spans="1:99">
      <c r="A125" s="37" t="str">
        <f t="shared" si="13"/>
        <v>Alpha-Level-3-List (Al3)</v>
      </c>
      <c r="C125" s="7" t="s">
        <v>696</v>
      </c>
      <c r="D125" s="7" t="s">
        <v>611</v>
      </c>
      <c r="E125" s="37" t="str">
        <f t="shared" si="11"/>
        <v>Alpha-Level-3-List (Al3)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5" t="b">
        <v>1</v>
      </c>
      <c r="AB125" s="5" t="b">
        <v>0</v>
      </c>
      <c r="AC125" s="7">
        <v>126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-18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61" t="s">
        <v>739</v>
      </c>
      <c r="AT125" s="5">
        <v>18</v>
      </c>
      <c r="AU125" s="7">
        <v>12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3</v>
      </c>
      <c r="BO125" s="5" t="b">
        <v>0</v>
      </c>
      <c r="CK125" s="7" t="b">
        <v>1</v>
      </c>
      <c r="CU125" s="60" t="str">
        <f t="shared" si="10"/>
        <v>.Alpha-Level-3-ListAl3</v>
      </c>
    </row>
    <row r="126" spans="1:99">
      <c r="A126" s="37" t="str">
        <f t="shared" si="13"/>
        <v>Alpha-Level-3-List-Paragraph (Al3p)</v>
      </c>
      <c r="C126" s="7" t="s">
        <v>697</v>
      </c>
      <c r="D126" s="7" t="s">
        <v>612</v>
      </c>
      <c r="E126" s="37" t="str">
        <f t="shared" si="11"/>
        <v>Alpha-Level-3-List-Paragraph (Al3p)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126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61" t="s">
        <v>739</v>
      </c>
      <c r="AT126" s="5">
        <v>18</v>
      </c>
      <c r="AU126" s="7">
        <v>12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K126" s="7" t="b">
        <v>1</v>
      </c>
      <c r="CL126" s="7" t="b">
        <v>1</v>
      </c>
      <c r="CU126" s="60" t="str">
        <f t="shared" si="10"/>
        <v>.Alpha-Level-3-List-ParagraphAl3p</v>
      </c>
    </row>
    <row r="127" spans="1:99">
      <c r="A127" s="37" t="str">
        <f t="shared" si="13"/>
        <v>Bulleted-Paragraph (Bp)</v>
      </c>
      <c r="C127" s="7" t="s">
        <v>375</v>
      </c>
      <c r="D127" s="7" t="s">
        <v>376</v>
      </c>
      <c r="E127" s="37" t="str">
        <f t="shared" si="11"/>
        <v>Bulleted-Paragraph (Bp)</v>
      </c>
      <c r="F127" s="5">
        <v>1</v>
      </c>
      <c r="G127" s="7" t="b">
        <v>0</v>
      </c>
      <c r="H127" s="5">
        <v>1</v>
      </c>
      <c r="I127" s="5" t="s">
        <v>66</v>
      </c>
      <c r="J127" s="5">
        <v>12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1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61" t="s">
        <v>739</v>
      </c>
      <c r="AT127" s="5">
        <v>18</v>
      </c>
      <c r="AU127" s="7">
        <v>12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0" t="str">
        <f t="shared" si="10"/>
        <v>.Bulleted-ParagraphBp</v>
      </c>
    </row>
    <row r="128" spans="1:99">
      <c r="A128" s="37" t="str">
        <f t="shared" si="13"/>
        <v>Numbered-Paragraph (Np)</v>
      </c>
      <c r="C128" s="7" t="s">
        <v>377</v>
      </c>
      <c r="D128" s="7" t="s">
        <v>378</v>
      </c>
      <c r="E128" s="37" t="str">
        <f t="shared" si="11"/>
        <v>Numbered-Paragraph (Np)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1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0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61" t="s">
        <v>739</v>
      </c>
      <c r="AT128" s="5">
        <v>18</v>
      </c>
      <c r="AU128" s="7">
        <v>12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0" t="str">
        <f t="shared" si="10"/>
        <v>.Numbered-ParagraphNp</v>
      </c>
    </row>
    <row r="129" spans="1:99">
      <c r="A129" s="37" t="str">
        <f t="shared" si="13"/>
        <v>List-Head (Lhead)</v>
      </c>
      <c r="C129" s="7" t="s">
        <v>492</v>
      </c>
      <c r="D129" s="7" t="s">
        <v>613</v>
      </c>
      <c r="E129" s="7" t="s">
        <v>426</v>
      </c>
      <c r="F129" s="5">
        <v>1</v>
      </c>
      <c r="G129" s="7" t="b">
        <v>0</v>
      </c>
      <c r="H129" s="5">
        <v>1</v>
      </c>
      <c r="I129" s="5" t="s">
        <v>67</v>
      </c>
      <c r="J129" s="5">
        <v>14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36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0</v>
      </c>
      <c r="AK129" s="7">
        <v>6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61" t="s">
        <v>739</v>
      </c>
      <c r="AT129" s="5">
        <v>18</v>
      </c>
      <c r="AU129" s="7">
        <v>12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0" t="str">
        <f t="shared" si="10"/>
        <v>.List-HeadLhead</v>
      </c>
    </row>
    <row r="130" spans="1:99">
      <c r="A130" s="37" t="str">
        <f t="shared" si="13"/>
        <v>Generic-Footnote (Ftnt)</v>
      </c>
      <c r="C130" s="7" t="s">
        <v>493</v>
      </c>
      <c r="D130" s="7" t="s">
        <v>494</v>
      </c>
      <c r="E130" s="37" t="str">
        <f t="shared" si="11"/>
        <v>Generic-Footnote (Ftnt)</v>
      </c>
      <c r="F130" s="5">
        <v>1</v>
      </c>
      <c r="G130" s="7" t="b">
        <v>0</v>
      </c>
      <c r="H130" s="5">
        <v>1</v>
      </c>
      <c r="I130" s="5" t="s">
        <v>66</v>
      </c>
      <c r="J130" s="5">
        <v>10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61" t="s">
        <v>739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0" t="str">
        <f t="shared" si="10"/>
        <v>.Generic-FootnoteFtnt</v>
      </c>
    </row>
    <row r="131" spans="1:99">
      <c r="A131" s="37" t="str">
        <f t="shared" si="13"/>
        <v>Reference-Entry (Ref)</v>
      </c>
      <c r="C131" s="7" t="s">
        <v>379</v>
      </c>
      <c r="D131" s="7" t="s">
        <v>614</v>
      </c>
      <c r="E131" s="37" t="str">
        <f t="shared" si="11"/>
        <v>Reference-Entry (Ref)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36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61" t="s">
        <v>739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0" t="str">
        <f t="shared" si="10"/>
        <v>.Reference-EntryRef</v>
      </c>
    </row>
    <row r="132" spans="1:99">
      <c r="A132" s="37" t="str">
        <f t="shared" si="13"/>
        <v>Source-Note (Srcnt)</v>
      </c>
      <c r="C132" s="7" t="s">
        <v>380</v>
      </c>
      <c r="D132" s="7" t="s">
        <v>615</v>
      </c>
      <c r="E132" s="7" t="s">
        <v>426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0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36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61" t="s">
        <v>739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0" t="str">
        <f t="shared" si="10"/>
        <v>.Source-NoteSrcnt</v>
      </c>
    </row>
    <row r="133" spans="1:99">
      <c r="A133" s="37" t="str">
        <f t="shared" si="13"/>
        <v>Index-Entry (Idx1)</v>
      </c>
      <c r="C133" s="7" t="s">
        <v>495</v>
      </c>
      <c r="D133" s="7" t="s">
        <v>624</v>
      </c>
      <c r="E133" s="37" t="str">
        <f t="shared" si="11"/>
        <v>Index-Entry (Idx1)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18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-18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46" t="s">
        <v>68</v>
      </c>
      <c r="AT133" s="5">
        <v>1</v>
      </c>
      <c r="AU133" s="7">
        <v>36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0" t="str">
        <f t="shared" si="10"/>
        <v>.Index-EntryIdx1</v>
      </c>
    </row>
    <row r="134" spans="1:99">
      <c r="A134" s="37" t="str">
        <f t="shared" si="13"/>
        <v>Index-Sub-Entry (Idx2)</v>
      </c>
      <c r="C134" s="7" t="s">
        <v>496</v>
      </c>
      <c r="D134" s="7" t="s">
        <v>625</v>
      </c>
      <c r="E134" s="37" t="str">
        <f t="shared" si="11"/>
        <v>Index-Sub-Entry (Idx2)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54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-18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6" t="s">
        <v>68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0" t="str">
        <f t="shared" si="10"/>
        <v>.Index-Sub-EntryIdx2</v>
      </c>
    </row>
    <row r="135" spans="1:99">
      <c r="A135" s="37" t="str">
        <f t="shared" si="13"/>
        <v>Index-Sub-Sub-Entry (Idx3)</v>
      </c>
      <c r="C135" s="7" t="s">
        <v>497</v>
      </c>
      <c r="D135" s="7" t="s">
        <v>626</v>
      </c>
      <c r="E135" s="37" t="str">
        <f t="shared" si="11"/>
        <v>Index-Sub-Sub-Entry (Idx3)</v>
      </c>
      <c r="F135" s="5">
        <v>1</v>
      </c>
      <c r="G135" s="7" t="b">
        <v>0</v>
      </c>
      <c r="H135" s="5">
        <v>1</v>
      </c>
      <c r="I135" s="5" t="s">
        <v>66</v>
      </c>
      <c r="J135" s="5">
        <v>12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90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-18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46" t="s">
        <v>68</v>
      </c>
      <c r="AT135" s="5">
        <v>1</v>
      </c>
      <c r="AU135" s="7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0" t="str">
        <f t="shared" si="10"/>
        <v>.Index-Sub-Sub-EntryIdx3</v>
      </c>
    </row>
    <row r="136" spans="1:99">
      <c r="A136" s="37" t="str">
        <f t="shared" si="13"/>
        <v>Publisher (Pub)</v>
      </c>
      <c r="C136" s="7" t="s">
        <v>498</v>
      </c>
      <c r="D136" s="7" t="s">
        <v>499</v>
      </c>
      <c r="E136" s="7" t="s">
        <v>426</v>
      </c>
      <c r="F136" s="5">
        <v>1</v>
      </c>
      <c r="G136" s="7" t="b">
        <v>0</v>
      </c>
      <c r="H136" s="5">
        <v>1</v>
      </c>
      <c r="I136" s="5" t="s">
        <v>66</v>
      </c>
      <c r="J136" s="5">
        <v>12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1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7" t="s">
        <v>660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0" t="str">
        <f t="shared" si="10"/>
        <v>.PublisherPub</v>
      </c>
    </row>
    <row r="137" spans="1:99">
      <c r="A137" s="37" t="str">
        <f t="shared" si="13"/>
        <v>Cities (Cit)</v>
      </c>
      <c r="C137" s="7" t="s">
        <v>500</v>
      </c>
      <c r="D137" s="7" t="s">
        <v>501</v>
      </c>
      <c r="E137" s="7" t="s">
        <v>426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1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7" t="s">
        <v>660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0" t="str">
        <f t="shared" si="10"/>
        <v>.CitiesCit</v>
      </c>
    </row>
    <row r="138" spans="1:99">
      <c r="A138" s="37" t="str">
        <f t="shared" si="13"/>
        <v>Logo-Placement (Logo)</v>
      </c>
      <c r="C138" s="7" t="s">
        <v>381</v>
      </c>
      <c r="D138" s="7" t="s">
        <v>616</v>
      </c>
      <c r="E138" s="7" t="s">
        <v>426</v>
      </c>
      <c r="F138" s="5">
        <v>1</v>
      </c>
      <c r="G138" s="7" t="b">
        <v>0</v>
      </c>
      <c r="H138" s="5">
        <v>1</v>
      </c>
      <c r="I138" s="5" t="s">
        <v>1</v>
      </c>
      <c r="J138" s="5">
        <v>12</v>
      </c>
      <c r="K138" s="7" t="b">
        <v>0</v>
      </c>
      <c r="L138" s="5" t="b">
        <v>0</v>
      </c>
      <c r="M138" s="8" t="s">
        <v>70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1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1</v>
      </c>
      <c r="AO138" s="39" t="s">
        <v>70</v>
      </c>
      <c r="AP138" s="5">
        <v>1</v>
      </c>
      <c r="AQ138" s="5">
        <v>24</v>
      </c>
      <c r="AR138" s="5" t="b">
        <v>1</v>
      </c>
      <c r="AS138" s="39" t="s">
        <v>70</v>
      </c>
      <c r="AT138" s="5">
        <v>1</v>
      </c>
      <c r="AU138" s="7">
        <v>36</v>
      </c>
      <c r="AV138" s="5" t="b">
        <v>1</v>
      </c>
      <c r="AW138" s="39" t="s">
        <v>70</v>
      </c>
      <c r="AX138" s="5">
        <v>1</v>
      </c>
      <c r="AY138" s="5">
        <v>24</v>
      </c>
      <c r="AZ138" s="5" t="b">
        <v>1</v>
      </c>
      <c r="BA138" s="39" t="s">
        <v>70</v>
      </c>
      <c r="BB138" s="5">
        <v>1</v>
      </c>
      <c r="BC138" s="5">
        <v>24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0" t="str">
        <f t="shared" si="10"/>
        <v>.Logo-PlacementLogo</v>
      </c>
    </row>
    <row r="139" spans="1:99">
      <c r="A139" s="37" t="str">
        <f t="shared" si="13"/>
        <v>Imprint (Imp)</v>
      </c>
      <c r="C139" s="7" t="s">
        <v>382</v>
      </c>
      <c r="D139" s="7" t="s">
        <v>617</v>
      </c>
      <c r="E139" s="7" t="s">
        <v>426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1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7" t="s">
        <v>660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0" t="str">
        <f t="shared" si="10"/>
        <v>.ImprintImp</v>
      </c>
    </row>
    <row r="140" spans="1:99">
      <c r="A140" s="37" t="str">
        <f t="shared" si="13"/>
        <v>Image-Placement (Img)</v>
      </c>
      <c r="C140" s="7" t="s">
        <v>565</v>
      </c>
      <c r="D140" s="7" t="s">
        <v>564</v>
      </c>
      <c r="E140" s="7" t="s">
        <v>426</v>
      </c>
      <c r="F140" s="5">
        <v>1</v>
      </c>
      <c r="G140" s="7" t="b">
        <v>1</v>
      </c>
      <c r="H140" s="5">
        <v>1</v>
      </c>
      <c r="I140" s="5" t="s">
        <v>1</v>
      </c>
      <c r="J140" s="5">
        <v>12</v>
      </c>
      <c r="K140" s="7" t="b">
        <v>0</v>
      </c>
      <c r="L140" s="5" t="b">
        <v>0</v>
      </c>
      <c r="M140" s="8" t="s">
        <v>70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1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1</v>
      </c>
      <c r="AO140" s="39" t="s">
        <v>70</v>
      </c>
      <c r="AP140" s="5">
        <v>1</v>
      </c>
      <c r="AQ140" s="5">
        <v>24</v>
      </c>
      <c r="AR140" s="5" t="b">
        <v>1</v>
      </c>
      <c r="AS140" s="39" t="s">
        <v>70</v>
      </c>
      <c r="AT140" s="5">
        <v>1</v>
      </c>
      <c r="AU140" s="7">
        <v>36</v>
      </c>
      <c r="AV140" s="5" t="b">
        <v>1</v>
      </c>
      <c r="AW140" s="39" t="s">
        <v>70</v>
      </c>
      <c r="AX140" s="5">
        <v>1</v>
      </c>
      <c r="AY140" s="5">
        <v>24</v>
      </c>
      <c r="AZ140" s="5" t="b">
        <v>1</v>
      </c>
      <c r="BA140" s="39" t="s">
        <v>70</v>
      </c>
      <c r="BB140" s="5">
        <v>1</v>
      </c>
      <c r="BC140" s="5">
        <v>24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B140" s="7" t="b">
        <v>1</v>
      </c>
      <c r="CC140" s="7" t="b">
        <v>1</v>
      </c>
      <c r="CP140" s="7" t="b">
        <v>1</v>
      </c>
      <c r="CU140" s="60" t="str">
        <f t="shared" si="10"/>
        <v>.Image-PlacementImg</v>
      </c>
    </row>
    <row r="141" spans="1:99">
      <c r="A141" s="37" t="str">
        <f t="shared" si="13"/>
        <v>Credit-Line (Crd)</v>
      </c>
      <c r="C141" s="7" t="s">
        <v>383</v>
      </c>
      <c r="D141" s="7" t="s">
        <v>384</v>
      </c>
      <c r="E141" s="37" t="str">
        <f t="shared" ref="E141:E154" si="14">IF($D141="","",TRIM($C141)&amp;" "&amp;CHAR(40)&amp;TRIM($D141)&amp;CHAR(41))</f>
        <v>Credit-Line (Crd)</v>
      </c>
      <c r="F141" s="5">
        <v>1</v>
      </c>
      <c r="G141" s="7" t="b">
        <v>0</v>
      </c>
      <c r="H141" s="5">
        <v>1</v>
      </c>
      <c r="I141" s="5" t="s">
        <v>1</v>
      </c>
      <c r="J141" s="5">
        <v>10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36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48" t="s">
        <v>664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B141" s="7" t="b">
        <v>1</v>
      </c>
      <c r="CE141" s="7" t="b">
        <v>1</v>
      </c>
      <c r="CP141" s="7" t="b">
        <v>1</v>
      </c>
      <c r="CU141" s="60" t="str">
        <f t="shared" si="10"/>
        <v>.Credit-LineCrd</v>
      </c>
    </row>
    <row r="142" spans="1:99">
      <c r="A142" s="37" t="str">
        <f t="shared" si="13"/>
        <v>Caption (Cap)</v>
      </c>
      <c r="C142" s="7" t="s">
        <v>203</v>
      </c>
      <c r="D142" s="7" t="s">
        <v>385</v>
      </c>
      <c r="E142" s="37" t="str">
        <f t="shared" si="14"/>
        <v>Caption (Cap)</v>
      </c>
      <c r="F142" s="5">
        <v>1</v>
      </c>
      <c r="G142" s="7" t="b">
        <v>0</v>
      </c>
      <c r="H142" s="5">
        <v>1</v>
      </c>
      <c r="I142" s="5" t="s">
        <v>1</v>
      </c>
      <c r="J142" s="5">
        <v>10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36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48" t="s">
        <v>664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B142" s="7" t="b">
        <v>1</v>
      </c>
      <c r="CD142" s="7" t="b">
        <v>1</v>
      </c>
      <c r="CP142" s="7" t="b">
        <v>1</v>
      </c>
      <c r="CU142" s="60" t="str">
        <f t="shared" si="10"/>
        <v>.CaptionCap</v>
      </c>
    </row>
    <row r="143" spans="1:99">
      <c r="A143" s="37" t="str">
        <f t="shared" si="13"/>
        <v>Question (Ques)</v>
      </c>
      <c r="C143" s="7" t="s">
        <v>796</v>
      </c>
      <c r="D143" s="7" t="s">
        <v>797</v>
      </c>
      <c r="E143" s="37" t="str">
        <f t="shared" si="14"/>
        <v>Question (Ques)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61" t="s">
        <v>739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0" t="str">
        <f t="shared" ref="CU143:CU144" si="15">"."&amp;SUBSTITUTE(SUBSTITUTE(SUBSTITUTE(SUBSTITUTE(A143, "(",""),")","")," ",""),"#","")</f>
        <v>.QuestionQues</v>
      </c>
    </row>
    <row r="144" spans="1:99">
      <c r="A144" s="37" t="str">
        <f t="shared" si="13"/>
        <v>Answer (Ans)</v>
      </c>
      <c r="C144" s="7" t="s">
        <v>798</v>
      </c>
      <c r="D144" s="7" t="s">
        <v>799</v>
      </c>
      <c r="E144" s="37" t="str">
        <f t="shared" si="14"/>
        <v>Answer (Ans)</v>
      </c>
      <c r="F144" s="5">
        <v>1</v>
      </c>
      <c r="G144" s="7" t="b">
        <v>0</v>
      </c>
      <c r="H144" s="5">
        <v>1</v>
      </c>
      <c r="I144" s="5" t="s">
        <v>66</v>
      </c>
      <c r="J144" s="5">
        <v>12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61" t="s">
        <v>739</v>
      </c>
      <c r="AT144" s="5">
        <v>7</v>
      </c>
      <c r="AU144" s="7">
        <v>18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0" t="str">
        <f t="shared" si="15"/>
        <v>.AnswerAns</v>
      </c>
    </row>
    <row r="145" spans="1:102">
      <c r="A145" s="37" t="str">
        <f t="shared" si="13"/>
        <v>Speaker1 (Sp1)</v>
      </c>
      <c r="C145" s="7" t="s">
        <v>566</v>
      </c>
      <c r="D145" s="7" t="s">
        <v>567</v>
      </c>
      <c r="E145" s="37" t="str">
        <f t="shared" si="14"/>
        <v>Speaker1 (Sp1)</v>
      </c>
      <c r="F145" s="5">
        <v>1</v>
      </c>
      <c r="G145" s="7" t="b">
        <v>0</v>
      </c>
      <c r="H145" s="5">
        <v>1</v>
      </c>
      <c r="I145" s="5" t="s">
        <v>2</v>
      </c>
      <c r="J145" s="5">
        <v>11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36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61" t="s">
        <v>739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0" t="str">
        <f t="shared" si="10"/>
        <v>.Speaker1Sp1</v>
      </c>
    </row>
    <row r="146" spans="1:102">
      <c r="A146" s="37" t="str">
        <f t="shared" si="13"/>
        <v>Speaker2 (Sp2)</v>
      </c>
      <c r="C146" s="7" t="s">
        <v>568</v>
      </c>
      <c r="D146" s="7" t="s">
        <v>569</v>
      </c>
      <c r="E146" s="37" t="str">
        <f t="shared" si="14"/>
        <v>Speaker2 (Sp2)</v>
      </c>
      <c r="F146" s="5">
        <v>1</v>
      </c>
      <c r="G146" s="7" t="b">
        <v>0</v>
      </c>
      <c r="H146" s="5">
        <v>1</v>
      </c>
      <c r="I146" s="5" t="s">
        <v>2</v>
      </c>
      <c r="J146" s="5">
        <v>11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36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61" t="s">
        <v>739</v>
      </c>
      <c r="AT146" s="5">
        <v>7</v>
      </c>
      <c r="AU146" s="7">
        <v>18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0" t="str">
        <f t="shared" ref="CU146:CU211" si="16">"."&amp;SUBSTITUTE(SUBSTITUTE(SUBSTITUTE(SUBSTITUTE(A146, "(",""),")","")," ",""),"#","")</f>
        <v>.Speaker2Sp2</v>
      </c>
    </row>
    <row r="147" spans="1:102">
      <c r="A147" s="37" t="str">
        <f t="shared" si="13"/>
        <v>Dialogue1 (Dia1)</v>
      </c>
      <c r="C147" s="7" t="s">
        <v>502</v>
      </c>
      <c r="D147" s="7" t="s">
        <v>504</v>
      </c>
      <c r="E147" s="37" t="str">
        <f t="shared" si="14"/>
        <v>Dialogue1 (Dia1)</v>
      </c>
      <c r="F147" s="5">
        <v>1</v>
      </c>
      <c r="G147" s="7" t="b">
        <v>0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36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61" t="s">
        <v>739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0" t="str">
        <f t="shared" si="16"/>
        <v>.Dialogue1Dia1</v>
      </c>
    </row>
    <row r="148" spans="1:102">
      <c r="A148" s="37" t="str">
        <f t="shared" si="13"/>
        <v>Dialogue2 (Dia2)</v>
      </c>
      <c r="C148" s="7" t="s">
        <v>503</v>
      </c>
      <c r="D148" s="7" t="s">
        <v>505</v>
      </c>
      <c r="E148" s="37" t="str">
        <f t="shared" si="14"/>
        <v>Dialogue2 (Dia2)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36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61" t="s">
        <v>739</v>
      </c>
      <c r="AT148" s="5">
        <v>7</v>
      </c>
      <c r="AU148" s="7">
        <v>18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0" t="str">
        <f t="shared" si="16"/>
        <v>.Dialogue2Dia2</v>
      </c>
    </row>
    <row r="149" spans="1:102">
      <c r="A149" s="37" t="str">
        <f t="shared" si="13"/>
        <v>Stage-Directions (Stdir)</v>
      </c>
      <c r="C149" s="7" t="s">
        <v>386</v>
      </c>
      <c r="D149" s="7" t="s">
        <v>618</v>
      </c>
      <c r="E149" s="37" t="str">
        <f t="shared" si="14"/>
        <v>Stage-Directions (Stdir)</v>
      </c>
      <c r="F149" s="5">
        <v>1</v>
      </c>
      <c r="G149" s="7" t="b">
        <v>0</v>
      </c>
      <c r="H149" s="5">
        <v>1</v>
      </c>
      <c r="I149" s="5" t="s">
        <v>1</v>
      </c>
      <c r="J149" s="5">
        <v>11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36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61" t="s">
        <v>739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0" t="str">
        <f t="shared" si="16"/>
        <v>.Stage-DirectionsStdir</v>
      </c>
    </row>
    <row r="150" spans="1:102">
      <c r="A150" s="37" t="str">
        <f t="shared" si="13"/>
        <v>TOC-Frontmatter (Tocfm)</v>
      </c>
      <c r="C150" s="7" t="s">
        <v>387</v>
      </c>
      <c r="D150" s="7" t="s">
        <v>619</v>
      </c>
      <c r="E150" s="37" t="str">
        <f t="shared" si="14"/>
        <v>TOC-Frontmatter (Tocfm)</v>
      </c>
      <c r="F150" s="5">
        <v>1</v>
      </c>
      <c r="G150" s="7" t="b">
        <v>0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0</v>
      </c>
      <c r="AO150" s="6" t="s">
        <v>65</v>
      </c>
      <c r="AP150" s="5">
        <v>0</v>
      </c>
      <c r="AQ150" s="5">
        <v>6</v>
      </c>
      <c r="AR150" s="5" t="b">
        <v>1</v>
      </c>
      <c r="AS150" s="47" t="s">
        <v>660</v>
      </c>
      <c r="AT150" s="5">
        <v>1</v>
      </c>
      <c r="AU150" s="7">
        <v>36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0</v>
      </c>
      <c r="BA150" s="6" t="s">
        <v>65</v>
      </c>
      <c r="BB150" s="5">
        <v>0</v>
      </c>
      <c r="BC150" s="5">
        <v>6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U150" s="60" t="str">
        <f t="shared" si="16"/>
        <v>.TOC-FrontmatterTocfm</v>
      </c>
    </row>
    <row r="151" spans="1:102">
      <c r="A151" s="37" t="str">
        <f t="shared" si="13"/>
        <v>TOC-Part (Tocpt)</v>
      </c>
      <c r="C151" s="7" t="s">
        <v>388</v>
      </c>
      <c r="D151" s="7" t="s">
        <v>620</v>
      </c>
      <c r="E151" s="37" t="str">
        <f t="shared" si="14"/>
        <v>TOC-Part (Tocpt)</v>
      </c>
      <c r="F151" s="5">
        <v>1</v>
      </c>
      <c r="G151" s="7" t="b">
        <v>0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47" t="s">
        <v>660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U151" s="60" t="str">
        <f t="shared" si="16"/>
        <v>.TOC-PartTocpt</v>
      </c>
    </row>
    <row r="152" spans="1:102">
      <c r="A152" s="37" t="str">
        <f t="shared" si="13"/>
        <v>TOC-Chapter (Tocch)</v>
      </c>
      <c r="C152" s="7" t="s">
        <v>389</v>
      </c>
      <c r="D152" s="7" t="s">
        <v>621</v>
      </c>
      <c r="E152" s="37" t="str">
        <f t="shared" si="14"/>
        <v>TOC-Chapter (Tocch)</v>
      </c>
      <c r="F152" s="5">
        <v>1</v>
      </c>
      <c r="G152" s="7" t="b">
        <v>0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0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0</v>
      </c>
      <c r="AO152" s="6" t="s">
        <v>65</v>
      </c>
      <c r="AP152" s="5">
        <v>0</v>
      </c>
      <c r="AQ152" s="5">
        <v>6</v>
      </c>
      <c r="AR152" s="5" t="b">
        <v>1</v>
      </c>
      <c r="AS152" s="47" t="s">
        <v>660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0</v>
      </c>
      <c r="BA152" s="6" t="s">
        <v>65</v>
      </c>
      <c r="BB152" s="5">
        <v>0</v>
      </c>
      <c r="BC152" s="5">
        <v>6</v>
      </c>
      <c r="BD152" s="5">
        <v>4</v>
      </c>
      <c r="BE152" s="5">
        <v>4</v>
      </c>
      <c r="BF152" s="5">
        <v>1</v>
      </c>
      <c r="BG152" s="5">
        <v>1</v>
      </c>
      <c r="BH152" s="9" t="s">
        <v>65</v>
      </c>
      <c r="BL152" s="36"/>
      <c r="BM152" s="5" t="s">
        <v>0</v>
      </c>
      <c r="BN152" s="5">
        <v>0</v>
      </c>
      <c r="BO152" s="5" t="b">
        <v>0</v>
      </c>
      <c r="CU152" s="60" t="str">
        <f t="shared" si="16"/>
        <v>.TOC-ChapterTocch</v>
      </c>
    </row>
    <row r="153" spans="1:102">
      <c r="A153" s="37" t="str">
        <f t="shared" si="13"/>
        <v>TOC-Subhead (Tocsub)</v>
      </c>
      <c r="C153" s="7" t="s">
        <v>390</v>
      </c>
      <c r="D153" s="7" t="s">
        <v>627</v>
      </c>
      <c r="E153" s="37" t="str">
        <f t="shared" si="14"/>
        <v>TOC-Subhead (Tocsub)</v>
      </c>
      <c r="F153" s="5">
        <v>1</v>
      </c>
      <c r="G153" s="7" t="b">
        <v>0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0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0</v>
      </c>
      <c r="AO153" s="6" t="s">
        <v>65</v>
      </c>
      <c r="AP153" s="5">
        <v>0</v>
      </c>
      <c r="AQ153" s="5">
        <v>6</v>
      </c>
      <c r="AR153" s="5" t="b">
        <v>1</v>
      </c>
      <c r="AS153" s="47" t="s">
        <v>660</v>
      </c>
      <c r="AT153" s="5">
        <v>1</v>
      </c>
      <c r="AU153" s="7">
        <v>36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0</v>
      </c>
      <c r="BA153" s="6" t="s">
        <v>65</v>
      </c>
      <c r="BB153" s="5">
        <v>0</v>
      </c>
      <c r="BC153" s="5">
        <v>6</v>
      </c>
      <c r="BD153" s="5">
        <v>4</v>
      </c>
      <c r="BE153" s="5">
        <v>4</v>
      </c>
      <c r="BF153" s="5">
        <v>1</v>
      </c>
      <c r="BG153" s="5">
        <v>1</v>
      </c>
      <c r="BH153" s="9" t="s">
        <v>65</v>
      </c>
      <c r="BL153" s="36"/>
      <c r="BM153" s="5" t="s">
        <v>0</v>
      </c>
      <c r="BN153" s="5">
        <v>0</v>
      </c>
      <c r="BO153" s="5" t="b">
        <v>0</v>
      </c>
      <c r="CU153" s="60" t="str">
        <f t="shared" si="16"/>
        <v>.TOC-SubheadTocsub</v>
      </c>
    </row>
    <row r="154" spans="1:102">
      <c r="A154" s="37" t="str">
        <f t="shared" si="13"/>
        <v>TOC-Backmatter (Tocbm)</v>
      </c>
      <c r="C154" s="7" t="s">
        <v>391</v>
      </c>
      <c r="D154" s="7" t="s">
        <v>622</v>
      </c>
      <c r="E154" s="37" t="str">
        <f t="shared" si="14"/>
        <v>TOC-Backmatter (Tocbm)</v>
      </c>
      <c r="F154" s="5">
        <v>1</v>
      </c>
      <c r="G154" s="7" t="b">
        <v>0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0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0</v>
      </c>
      <c r="AO154" s="6" t="s">
        <v>65</v>
      </c>
      <c r="AP154" s="5">
        <v>0</v>
      </c>
      <c r="AQ154" s="5">
        <v>6</v>
      </c>
      <c r="AR154" s="5" t="b">
        <v>1</v>
      </c>
      <c r="AS154" s="47" t="s">
        <v>660</v>
      </c>
      <c r="AT154" s="5">
        <v>1</v>
      </c>
      <c r="AU154" s="7">
        <v>36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0</v>
      </c>
      <c r="BA154" s="6" t="s">
        <v>65</v>
      </c>
      <c r="BB154" s="5">
        <v>0</v>
      </c>
      <c r="BC154" s="5">
        <v>6</v>
      </c>
      <c r="BD154" s="5">
        <v>4</v>
      </c>
      <c r="BE154" s="5">
        <v>4</v>
      </c>
      <c r="BF154" s="5">
        <v>1</v>
      </c>
      <c r="BG154" s="5">
        <v>1</v>
      </c>
      <c r="BH154" s="9" t="s">
        <v>65</v>
      </c>
      <c r="BL154" s="36"/>
      <c r="BM154" s="5" t="s">
        <v>0</v>
      </c>
      <c r="BN154" s="5">
        <v>0</v>
      </c>
      <c r="BO154" s="5" t="b">
        <v>0</v>
      </c>
      <c r="CU154" s="60" t="str">
        <f t="shared" si="16"/>
        <v>.TOC-BackmatterTocbm</v>
      </c>
    </row>
    <row r="155" spans="1:102">
      <c r="A155" s="37" t="str">
        <f t="shared" si="13"/>
        <v>Blank-Space-Break (Bsbrk)</v>
      </c>
      <c r="C155" s="7" t="s">
        <v>506</v>
      </c>
      <c r="D155" s="7" t="s">
        <v>507</v>
      </c>
      <c r="E155" s="7" t="s">
        <v>426</v>
      </c>
      <c r="F155" s="5">
        <v>1</v>
      </c>
      <c r="G155" s="7" t="b">
        <v>1</v>
      </c>
      <c r="H155" s="5">
        <v>1</v>
      </c>
      <c r="I155" s="5" t="s">
        <v>66</v>
      </c>
      <c r="J155" s="5">
        <v>12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39" t="s">
        <v>70</v>
      </c>
      <c r="AP155" s="5">
        <v>1</v>
      </c>
      <c r="AQ155" s="5">
        <v>24</v>
      </c>
      <c r="AR155" s="5" t="b">
        <v>1</v>
      </c>
      <c r="AS155" s="39" t="s">
        <v>70</v>
      </c>
      <c r="AT155" s="5">
        <v>3</v>
      </c>
      <c r="AU155" s="7">
        <v>18</v>
      </c>
      <c r="AV155" s="5" t="b">
        <v>1</v>
      </c>
      <c r="AW155" s="39" t="s">
        <v>70</v>
      </c>
      <c r="AX155" s="5">
        <v>1</v>
      </c>
      <c r="AY155" s="5">
        <v>24</v>
      </c>
      <c r="AZ155" s="5" t="b">
        <v>1</v>
      </c>
      <c r="BA155" s="39" t="s">
        <v>70</v>
      </c>
      <c r="BB155" s="5">
        <v>3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38" t="s">
        <v>663</v>
      </c>
      <c r="BL155" s="36"/>
      <c r="BM155" s="5" t="s">
        <v>0</v>
      </c>
      <c r="BN155" s="5">
        <v>0</v>
      </c>
      <c r="BO155" s="5" t="b">
        <v>0</v>
      </c>
      <c r="CU155" s="60" t="str">
        <f t="shared" si="16"/>
        <v>.Blank-Space-BreakBsbrk</v>
      </c>
      <c r="CX155" s="7" t="s">
        <v>780</v>
      </c>
    </row>
    <row r="156" spans="1:102">
      <c r="A156" s="37" t="str">
        <f t="shared" si="13"/>
        <v>Blank-Space-Break2 (Bsbrk2)</v>
      </c>
      <c r="C156" s="7" t="s">
        <v>754</v>
      </c>
      <c r="D156" s="7" t="s">
        <v>755</v>
      </c>
      <c r="E156" s="7" t="s">
        <v>426</v>
      </c>
      <c r="F156" s="5">
        <v>1</v>
      </c>
      <c r="G156" s="7" t="b">
        <v>1</v>
      </c>
      <c r="H156" s="5">
        <v>1</v>
      </c>
      <c r="I156" s="5" t="s">
        <v>66</v>
      </c>
      <c r="J156" s="5">
        <v>12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39" t="s">
        <v>70</v>
      </c>
      <c r="AP156" s="5">
        <v>1</v>
      </c>
      <c r="AQ156" s="5">
        <v>24</v>
      </c>
      <c r="AR156" s="5" t="b">
        <v>1</v>
      </c>
      <c r="AS156" s="39" t="s">
        <v>70</v>
      </c>
      <c r="AT156" s="5">
        <v>7</v>
      </c>
      <c r="AU156" s="7">
        <v>18</v>
      </c>
      <c r="AV156" s="5" t="b">
        <v>1</v>
      </c>
      <c r="AW156" s="39" t="s">
        <v>70</v>
      </c>
      <c r="AX156" s="5">
        <v>1</v>
      </c>
      <c r="AY156" s="5">
        <v>24</v>
      </c>
      <c r="AZ156" s="5" t="b">
        <v>1</v>
      </c>
      <c r="BA156" s="39" t="s">
        <v>70</v>
      </c>
      <c r="BB156" s="5">
        <v>3</v>
      </c>
      <c r="BC156" s="7">
        <v>18</v>
      </c>
      <c r="BD156" s="5">
        <v>4</v>
      </c>
      <c r="BE156" s="5">
        <v>4</v>
      </c>
      <c r="BF156" s="5">
        <v>1</v>
      </c>
      <c r="BG156" s="5">
        <v>1</v>
      </c>
      <c r="BH156" s="38" t="s">
        <v>663</v>
      </c>
      <c r="BL156" s="36"/>
      <c r="BM156" s="5" t="s">
        <v>0</v>
      </c>
      <c r="BN156" s="5">
        <v>0</v>
      </c>
      <c r="BO156" s="5" t="b">
        <v>0</v>
      </c>
      <c r="CU156" s="60" t="str">
        <f t="shared" si="16"/>
        <v>.Blank-Space-Break2Bsbrk2</v>
      </c>
      <c r="CX156" s="7" t="s">
        <v>780</v>
      </c>
    </row>
    <row r="157" spans="1:102">
      <c r="A157" s="37" t="str">
        <f t="shared" si="13"/>
        <v>Ornamental-Space-Break (Osbrk)</v>
      </c>
      <c r="C157" s="7" t="s">
        <v>508</v>
      </c>
      <c r="D157" s="7" t="s">
        <v>509</v>
      </c>
      <c r="E157" s="7" t="s">
        <v>426</v>
      </c>
      <c r="F157" s="5">
        <v>1</v>
      </c>
      <c r="G157" s="7" t="b">
        <v>1</v>
      </c>
      <c r="H157" s="5">
        <v>1</v>
      </c>
      <c r="I157" s="5" t="s">
        <v>66</v>
      </c>
      <c r="J157" s="5">
        <v>12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39" t="s">
        <v>70</v>
      </c>
      <c r="AP157" s="5">
        <v>1</v>
      </c>
      <c r="AQ157" s="5">
        <v>24</v>
      </c>
      <c r="AR157" s="5" t="b">
        <v>1</v>
      </c>
      <c r="AS157" s="49" t="s">
        <v>70</v>
      </c>
      <c r="AT157" s="5">
        <v>3</v>
      </c>
      <c r="AU157" s="7">
        <v>18</v>
      </c>
      <c r="AV157" s="5" t="b">
        <v>1</v>
      </c>
      <c r="AW157" s="49" t="s">
        <v>70</v>
      </c>
      <c r="AX157" s="5">
        <v>1</v>
      </c>
      <c r="AY157" s="5">
        <v>24</v>
      </c>
      <c r="AZ157" s="5" t="b">
        <v>1</v>
      </c>
      <c r="BA157" s="49" t="s">
        <v>70</v>
      </c>
      <c r="BB157" s="5">
        <v>3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38" t="s">
        <v>663</v>
      </c>
      <c r="BL157" s="36"/>
      <c r="BM157" s="5" t="s">
        <v>0</v>
      </c>
      <c r="BN157" s="5">
        <v>0</v>
      </c>
      <c r="BO157" s="5" t="b">
        <v>0</v>
      </c>
      <c r="CU157" s="60" t="str">
        <f t="shared" si="16"/>
        <v>.Ornamental-Space-BreakOsbrk</v>
      </c>
      <c r="CX157" s="7" t="s">
        <v>781</v>
      </c>
    </row>
    <row r="158" spans="1:102">
      <c r="A158" s="37" t="str">
        <f t="shared" si="13"/>
        <v>Ornamental-Space-Break2 (Osbrk2)</v>
      </c>
      <c r="C158" s="7" t="s">
        <v>756</v>
      </c>
      <c r="D158" s="7" t="s">
        <v>757</v>
      </c>
      <c r="E158" s="7" t="s">
        <v>426</v>
      </c>
      <c r="F158" s="5">
        <v>1</v>
      </c>
      <c r="G158" s="7" t="b">
        <v>1</v>
      </c>
      <c r="H158" s="5">
        <v>1</v>
      </c>
      <c r="I158" s="5" t="s">
        <v>66</v>
      </c>
      <c r="J158" s="5">
        <v>12</v>
      </c>
      <c r="K158" s="7" t="b">
        <v>0</v>
      </c>
      <c r="L158" s="5" t="b">
        <v>0</v>
      </c>
      <c r="M158" s="8" t="s">
        <v>70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6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39" t="s">
        <v>70</v>
      </c>
      <c r="AP158" s="5">
        <v>1</v>
      </c>
      <c r="AQ158" s="5">
        <v>24</v>
      </c>
      <c r="AR158" s="5" t="b">
        <v>1</v>
      </c>
      <c r="AS158" s="49" t="s">
        <v>70</v>
      </c>
      <c r="AT158" s="5">
        <v>7</v>
      </c>
      <c r="AU158" s="7">
        <v>18</v>
      </c>
      <c r="AV158" s="5" t="b">
        <v>1</v>
      </c>
      <c r="AW158" s="49" t="s">
        <v>70</v>
      </c>
      <c r="AX158" s="5">
        <v>1</v>
      </c>
      <c r="AY158" s="5">
        <v>24</v>
      </c>
      <c r="AZ158" s="5" t="b">
        <v>1</v>
      </c>
      <c r="BA158" s="49" t="s">
        <v>70</v>
      </c>
      <c r="BB158" s="5">
        <v>3</v>
      </c>
      <c r="BC158" s="7">
        <v>18</v>
      </c>
      <c r="BD158" s="5">
        <v>4</v>
      </c>
      <c r="BE158" s="5">
        <v>4</v>
      </c>
      <c r="BF158" s="5">
        <v>1</v>
      </c>
      <c r="BG158" s="5">
        <v>1</v>
      </c>
      <c r="BH158" s="38" t="s">
        <v>663</v>
      </c>
      <c r="BL158" s="36"/>
      <c r="BM158" s="5" t="s">
        <v>0</v>
      </c>
      <c r="BN158" s="5">
        <v>0</v>
      </c>
      <c r="BO158" s="5" t="b">
        <v>0</v>
      </c>
      <c r="CU158" s="60" t="str">
        <f t="shared" si="16"/>
        <v>.Ornamental-Space-Break2Osbrk2</v>
      </c>
      <c r="CX158" s="7" t="s">
        <v>785</v>
      </c>
    </row>
    <row r="159" spans="1:102">
      <c r="A159" s="37" t="str">
        <f t="shared" si="13"/>
        <v>Separator (Sep)</v>
      </c>
      <c r="C159" s="7" t="s">
        <v>510</v>
      </c>
      <c r="D159" s="7" t="s">
        <v>511</v>
      </c>
      <c r="E159" s="7" t="s">
        <v>426</v>
      </c>
      <c r="F159" s="5">
        <v>1</v>
      </c>
      <c r="G159" s="7" t="b">
        <v>1</v>
      </c>
      <c r="H159" s="5">
        <v>1</v>
      </c>
      <c r="I159" s="5" t="s">
        <v>66</v>
      </c>
      <c r="J159" s="5">
        <v>12</v>
      </c>
      <c r="K159" s="7" t="b">
        <v>0</v>
      </c>
      <c r="L159" s="5" t="b">
        <v>0</v>
      </c>
      <c r="M159" s="8" t="s">
        <v>70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6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39" t="s">
        <v>70</v>
      </c>
      <c r="AP159" s="5">
        <v>1</v>
      </c>
      <c r="AQ159" s="5">
        <v>24</v>
      </c>
      <c r="AR159" s="5" t="b">
        <v>1</v>
      </c>
      <c r="AS159" s="49" t="s">
        <v>70</v>
      </c>
      <c r="AT159" s="5">
        <v>3</v>
      </c>
      <c r="AU159" s="7">
        <v>18</v>
      </c>
      <c r="AV159" s="5" t="b">
        <v>1</v>
      </c>
      <c r="AW159" s="49" t="s">
        <v>70</v>
      </c>
      <c r="AX159" s="5">
        <v>1</v>
      </c>
      <c r="AY159" s="5">
        <v>24</v>
      </c>
      <c r="AZ159" s="5" t="b">
        <v>1</v>
      </c>
      <c r="BA159" s="49" t="s">
        <v>70</v>
      </c>
      <c r="BB159" s="5">
        <v>3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38" t="s">
        <v>663</v>
      </c>
      <c r="BL159" s="36"/>
      <c r="BM159" s="5" t="s">
        <v>0</v>
      </c>
      <c r="BN159" s="5">
        <v>0</v>
      </c>
      <c r="BO159" s="5" t="b">
        <v>0</v>
      </c>
      <c r="CP159" s="7" t="b">
        <v>1</v>
      </c>
      <c r="CU159" s="60" t="str">
        <f t="shared" si="16"/>
        <v>.SeparatorSep</v>
      </c>
      <c r="CX159" s="7" t="s">
        <v>782</v>
      </c>
    </row>
    <row r="160" spans="1:102">
      <c r="A160" s="37" t="str">
        <f t="shared" si="13"/>
        <v>Design-Note (Dn)</v>
      </c>
      <c r="C160" s="7" t="s">
        <v>392</v>
      </c>
      <c r="D160" s="7" t="s">
        <v>393</v>
      </c>
      <c r="E160" s="37" t="str">
        <f t="shared" ref="E160:E162" si="17">IF($D160="","",TRIM($C160)&amp;" "&amp;CHAR(40)&amp;TRIM($D160)&amp;CHAR(41))</f>
        <v>Design-Note (Dn)</v>
      </c>
      <c r="F160" s="5">
        <v>1</v>
      </c>
      <c r="G160" s="7" t="b">
        <v>1</v>
      </c>
      <c r="H160" s="5">
        <v>1</v>
      </c>
      <c r="I160" s="5" t="s">
        <v>71</v>
      </c>
      <c r="J160" s="5">
        <v>11</v>
      </c>
      <c r="K160" s="7" t="b">
        <v>0</v>
      </c>
      <c r="L160" s="5" t="b">
        <v>0</v>
      </c>
      <c r="M160" s="8" t="s">
        <v>70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6</v>
      </c>
      <c r="AF160" s="7">
        <v>6</v>
      </c>
      <c r="AG160" s="7">
        <v>2</v>
      </c>
      <c r="AH160" s="7">
        <v>24</v>
      </c>
      <c r="AI160" s="7">
        <v>0</v>
      </c>
      <c r="AJ160" s="7">
        <v>36</v>
      </c>
      <c r="AK160" s="7">
        <v>10</v>
      </c>
      <c r="AL160" s="7" t="b">
        <v>0</v>
      </c>
      <c r="AM160" s="5" t="b">
        <v>0</v>
      </c>
      <c r="AN160" s="5" t="b">
        <v>1</v>
      </c>
      <c r="AO160" s="39" t="s">
        <v>70</v>
      </c>
      <c r="AP160" s="5">
        <v>1</v>
      </c>
      <c r="AQ160" s="5">
        <v>24</v>
      </c>
      <c r="AR160" s="5" t="b">
        <v>1</v>
      </c>
      <c r="AS160" s="49" t="s">
        <v>70</v>
      </c>
      <c r="AT160" s="5">
        <v>1</v>
      </c>
      <c r="AU160" s="7">
        <v>24</v>
      </c>
      <c r="AV160" s="5" t="b">
        <v>1</v>
      </c>
      <c r="AW160" s="49" t="s">
        <v>70</v>
      </c>
      <c r="AX160" s="5">
        <v>1</v>
      </c>
      <c r="AY160" s="5">
        <v>24</v>
      </c>
      <c r="AZ160" s="5" t="b">
        <v>1</v>
      </c>
      <c r="BA160" s="49" t="s">
        <v>70</v>
      </c>
      <c r="BB160" s="5">
        <v>1</v>
      </c>
      <c r="BC160" s="5">
        <v>24</v>
      </c>
      <c r="BD160" s="5">
        <v>4</v>
      </c>
      <c r="BE160" s="5">
        <v>4</v>
      </c>
      <c r="BF160" s="5">
        <v>1</v>
      </c>
      <c r="BG160" s="5">
        <v>1</v>
      </c>
      <c r="BH160" s="9" t="s">
        <v>65</v>
      </c>
      <c r="BL160" s="36"/>
      <c r="BM160" s="5" t="s">
        <v>0</v>
      </c>
      <c r="BN160" s="5">
        <v>0</v>
      </c>
      <c r="BO160" s="5" t="b">
        <v>0</v>
      </c>
      <c r="CP160" s="7" t="b">
        <v>1</v>
      </c>
      <c r="CU160" s="60" t="str">
        <f t="shared" si="16"/>
        <v>.Design-NoteDn</v>
      </c>
    </row>
    <row r="161" spans="1:103">
      <c r="A161" s="37" t="str">
        <f t="shared" si="13"/>
        <v>Bookmaker-Processing-Instruction (Bpi)</v>
      </c>
      <c r="C161" s="7" t="s">
        <v>394</v>
      </c>
      <c r="D161" s="7" t="s">
        <v>395</v>
      </c>
      <c r="E161" s="37" t="str">
        <f t="shared" si="17"/>
        <v>Bookmaker-Processing-Instruction (Bpi)</v>
      </c>
      <c r="F161" s="5">
        <v>1</v>
      </c>
      <c r="G161" s="7" t="b">
        <v>0</v>
      </c>
      <c r="H161" s="5">
        <v>1</v>
      </c>
      <c r="I161" s="5" t="s">
        <v>71</v>
      </c>
      <c r="J161" s="5">
        <v>11</v>
      </c>
      <c r="K161" s="7" t="b">
        <v>0</v>
      </c>
      <c r="L161" s="5" t="b">
        <v>0</v>
      </c>
      <c r="M161" s="8" t="s">
        <v>70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6</v>
      </c>
      <c r="AF161" s="7">
        <v>6</v>
      </c>
      <c r="AG161" s="7">
        <v>2</v>
      </c>
      <c r="AH161" s="7">
        <v>24</v>
      </c>
      <c r="AI161" s="7">
        <v>0</v>
      </c>
      <c r="AJ161" s="7">
        <v>36</v>
      </c>
      <c r="AK161" s="7">
        <v>10</v>
      </c>
      <c r="AL161" s="7" t="b">
        <v>0</v>
      </c>
      <c r="AM161" s="5" t="b">
        <v>0</v>
      </c>
      <c r="AN161" s="5" t="b">
        <v>1</v>
      </c>
      <c r="AO161" s="39" t="s">
        <v>70</v>
      </c>
      <c r="AP161" s="5">
        <v>1</v>
      </c>
      <c r="AQ161" s="5">
        <v>24</v>
      </c>
      <c r="AR161" s="5" t="b">
        <v>1</v>
      </c>
      <c r="AS161" s="49" t="s">
        <v>70</v>
      </c>
      <c r="AT161" s="5">
        <v>1</v>
      </c>
      <c r="AU161" s="7">
        <v>24</v>
      </c>
      <c r="AV161" s="5" t="b">
        <v>1</v>
      </c>
      <c r="AW161" s="49" t="s">
        <v>70</v>
      </c>
      <c r="AX161" s="5">
        <v>1</v>
      </c>
      <c r="AY161" s="5">
        <v>24</v>
      </c>
      <c r="AZ161" s="5" t="b">
        <v>1</v>
      </c>
      <c r="BA161" s="49" t="s">
        <v>70</v>
      </c>
      <c r="BB161" s="5">
        <v>1</v>
      </c>
      <c r="BC161" s="5">
        <v>24</v>
      </c>
      <c r="BD161" s="5">
        <v>4</v>
      </c>
      <c r="BE161" s="5">
        <v>4</v>
      </c>
      <c r="BF161" s="5">
        <v>1</v>
      </c>
      <c r="BG161" s="5">
        <v>1</v>
      </c>
      <c r="BH161" s="9" t="s">
        <v>65</v>
      </c>
      <c r="BL161" s="36"/>
      <c r="BM161" s="5" t="s">
        <v>0</v>
      </c>
      <c r="BN161" s="5">
        <v>0</v>
      </c>
      <c r="BO161" s="5" t="b">
        <v>0</v>
      </c>
      <c r="CP161" s="7" t="b">
        <v>1</v>
      </c>
      <c r="CU161" s="60" t="str">
        <f t="shared" si="16"/>
        <v>.Bookmaker-Processing-InstructionBpi</v>
      </c>
    </row>
    <row r="162" spans="1:103">
      <c r="A162" s="37" t="str">
        <f t="shared" si="13"/>
        <v>Ebook-Only-Text (Eonly)</v>
      </c>
      <c r="C162" s="7" t="s">
        <v>512</v>
      </c>
      <c r="D162" s="7" t="s">
        <v>513</v>
      </c>
      <c r="E162" s="37" t="str">
        <f t="shared" si="17"/>
        <v>Ebook-Only-Text (Eonly)</v>
      </c>
      <c r="F162" s="5">
        <v>1</v>
      </c>
      <c r="G162" s="7" t="b">
        <v>0</v>
      </c>
      <c r="H162" s="5">
        <v>1</v>
      </c>
      <c r="I162" s="5" t="s">
        <v>1</v>
      </c>
      <c r="J162" s="5">
        <v>11</v>
      </c>
      <c r="K162" s="7" t="b">
        <v>0</v>
      </c>
      <c r="L162" s="5" t="b">
        <v>0</v>
      </c>
      <c r="M162" s="8" t="s">
        <v>70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1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6</v>
      </c>
      <c r="AF162" s="7">
        <v>6</v>
      </c>
      <c r="AG162" s="7">
        <v>2</v>
      </c>
      <c r="AH162" s="7">
        <v>24</v>
      </c>
      <c r="AI162" s="7">
        <v>0</v>
      </c>
      <c r="AJ162" s="7">
        <v>36</v>
      </c>
      <c r="AK162" s="7">
        <v>10</v>
      </c>
      <c r="AL162" s="7" t="b">
        <v>0</v>
      </c>
      <c r="AM162" s="5" t="b">
        <v>0</v>
      </c>
      <c r="AN162" s="5" t="b">
        <v>0</v>
      </c>
      <c r="AO162" s="6" t="s">
        <v>65</v>
      </c>
      <c r="AP162" s="5">
        <v>0</v>
      </c>
      <c r="AQ162" s="5">
        <v>6</v>
      </c>
      <c r="AR162" s="5" t="b">
        <v>1</v>
      </c>
      <c r="AS162" s="50" t="s">
        <v>661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0</v>
      </c>
      <c r="BA162" s="6" t="s">
        <v>65</v>
      </c>
      <c r="BB162" s="5">
        <v>0</v>
      </c>
      <c r="BC162" s="5">
        <v>6</v>
      </c>
      <c r="BD162" s="5">
        <v>4</v>
      </c>
      <c r="BE162" s="5">
        <v>4</v>
      </c>
      <c r="BF162" s="5">
        <v>1</v>
      </c>
      <c r="BG162" s="5">
        <v>1</v>
      </c>
      <c r="BH162" s="9" t="s">
        <v>65</v>
      </c>
      <c r="BL162" s="36"/>
      <c r="BM162" s="5" t="s">
        <v>0</v>
      </c>
      <c r="BN162" s="5">
        <v>0</v>
      </c>
      <c r="BO162" s="5" t="b">
        <v>0</v>
      </c>
      <c r="CP162" s="7" t="b">
        <v>1</v>
      </c>
      <c r="CU162" s="60" t="str">
        <f t="shared" si="16"/>
        <v>.Ebook-Only-TextEonly</v>
      </c>
    </row>
    <row r="163" spans="1:103">
      <c r="A163" s="37" t="str">
        <f t="shared" si="13"/>
        <v>EXTRACT-A (EXT-A)</v>
      </c>
      <c r="C163" s="7" t="s">
        <v>396</v>
      </c>
      <c r="D163" s="7" t="s">
        <v>397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5" t="s">
        <v>673</v>
      </c>
      <c r="AP163" s="5">
        <v>1</v>
      </c>
      <c r="AQ163" s="5">
        <v>12</v>
      </c>
      <c r="AR163" s="5" t="b">
        <v>1</v>
      </c>
      <c r="AS163" s="45" t="s">
        <v>673</v>
      </c>
      <c r="AT163" s="5">
        <v>1</v>
      </c>
      <c r="AU163" s="7">
        <v>36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5" t="s">
        <v>673</v>
      </c>
      <c r="BB163" s="5">
        <v>1</v>
      </c>
      <c r="BC163" s="7">
        <v>36</v>
      </c>
      <c r="BD163" s="5">
        <v>4</v>
      </c>
      <c r="BE163" s="5">
        <v>4</v>
      </c>
      <c r="BF163" s="5">
        <v>1</v>
      </c>
      <c r="BG163" s="5">
        <v>1</v>
      </c>
      <c r="BH163" s="6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709</v>
      </c>
      <c r="CU163" s="60" t="str">
        <f t="shared" si="16"/>
        <v>.EXTRACT-AEXT-A</v>
      </c>
      <c r="CY163" s="7" t="s">
        <v>396</v>
      </c>
    </row>
    <row r="164" spans="1:103">
      <c r="A164" s="37" t="str">
        <f t="shared" si="13"/>
        <v>EXTRACT-B (EXT-B)</v>
      </c>
      <c r="C164" s="7" t="s">
        <v>516</v>
      </c>
      <c r="D164" s="7" t="s">
        <v>519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5" t="s">
        <v>673</v>
      </c>
      <c r="AP164" s="5">
        <v>1</v>
      </c>
      <c r="AQ164" s="5">
        <v>12</v>
      </c>
      <c r="AR164" s="5" t="b">
        <v>1</v>
      </c>
      <c r="AS164" s="45" t="s">
        <v>673</v>
      </c>
      <c r="AT164" s="5">
        <v>7</v>
      </c>
      <c r="AU164" s="7">
        <v>18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5" t="s">
        <v>673</v>
      </c>
      <c r="BB164" s="5">
        <v>7</v>
      </c>
      <c r="BC164" s="7">
        <v>18</v>
      </c>
      <c r="BD164" s="5">
        <v>4</v>
      </c>
      <c r="BE164" s="5">
        <v>4</v>
      </c>
      <c r="BF164" s="5">
        <v>1</v>
      </c>
      <c r="BG164" s="5">
        <v>1</v>
      </c>
      <c r="BH164" s="6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709</v>
      </c>
      <c r="CU164" s="60" t="str">
        <f t="shared" si="16"/>
        <v>.EXTRACT-BEXT-B</v>
      </c>
      <c r="CY164" s="7" t="s">
        <v>516</v>
      </c>
    </row>
    <row r="165" spans="1:103">
      <c r="A165" s="37" t="str">
        <f t="shared" si="13"/>
        <v>EXTRACT-C (EXT-C)</v>
      </c>
      <c r="C165" s="7" t="s">
        <v>515</v>
      </c>
      <c r="D165" s="7" t="s">
        <v>518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5" t="s">
        <v>673</v>
      </c>
      <c r="AP165" s="5">
        <v>1</v>
      </c>
      <c r="AQ165" s="5">
        <v>12</v>
      </c>
      <c r="AR165" s="5" t="b">
        <v>1</v>
      </c>
      <c r="AS165" s="45" t="s">
        <v>673</v>
      </c>
      <c r="AT165" s="5">
        <v>8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5" t="s">
        <v>673</v>
      </c>
      <c r="BB165" s="5">
        <v>8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6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709</v>
      </c>
      <c r="CU165" s="60" t="str">
        <f t="shared" si="16"/>
        <v>.EXTRACT-CEXT-C</v>
      </c>
      <c r="CY165" s="7" t="s">
        <v>515</v>
      </c>
    </row>
    <row r="166" spans="1:103">
      <c r="A166" s="37" t="str">
        <f t="shared" si="13"/>
        <v>EXTRACT-D (EXT-D)</v>
      </c>
      <c r="C166" s="7" t="s">
        <v>514</v>
      </c>
      <c r="D166" s="7" t="s">
        <v>517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5" t="s">
        <v>673</v>
      </c>
      <c r="AP166" s="5">
        <v>1</v>
      </c>
      <c r="AQ166" s="5">
        <v>12</v>
      </c>
      <c r="AR166" s="5" t="b">
        <v>1</v>
      </c>
      <c r="AS166" s="45" t="s">
        <v>673</v>
      </c>
      <c r="AT166" s="5">
        <v>12</v>
      </c>
      <c r="AU166" s="7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5" t="s">
        <v>673</v>
      </c>
      <c r="BB166" s="5">
        <v>12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6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709</v>
      </c>
      <c r="CU166" s="60" t="str">
        <f t="shared" si="16"/>
        <v>.EXTRACT-DEXT-D</v>
      </c>
      <c r="CY166" s="7" t="s">
        <v>514</v>
      </c>
    </row>
    <row r="167" spans="1:103">
      <c r="A167" s="37" t="str">
        <f t="shared" si="13"/>
        <v>BOX-A (BOX-A)</v>
      </c>
      <c r="C167" s="7" t="s">
        <v>520</v>
      </c>
      <c r="D167" s="7" t="s">
        <v>520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5" t="s">
        <v>673</v>
      </c>
      <c r="AP167" s="5">
        <v>1</v>
      </c>
      <c r="AQ167" s="5">
        <v>12</v>
      </c>
      <c r="AR167" s="5" t="b">
        <v>1</v>
      </c>
      <c r="AS167" s="45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5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6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711</v>
      </c>
      <c r="CU167" s="60" t="str">
        <f t="shared" si="16"/>
        <v>.BOX-ABOX-A</v>
      </c>
      <c r="CY167" s="7" t="s">
        <v>520</v>
      </c>
    </row>
    <row r="168" spans="1:103">
      <c r="A168" s="37" t="str">
        <f t="shared" si="13"/>
        <v>BOX-B (BOX-B)</v>
      </c>
      <c r="C168" s="7" t="s">
        <v>521</v>
      </c>
      <c r="D168" s="7" t="s">
        <v>521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5" t="s">
        <v>673</v>
      </c>
      <c r="AP168" s="5">
        <v>1</v>
      </c>
      <c r="AQ168" s="5">
        <v>12</v>
      </c>
      <c r="AR168" s="5" t="b">
        <v>1</v>
      </c>
      <c r="AS168" s="45" t="s">
        <v>673</v>
      </c>
      <c r="AT168" s="5">
        <v>7</v>
      </c>
      <c r="AU168" s="7">
        <v>18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5" t="s">
        <v>673</v>
      </c>
      <c r="BB168" s="5">
        <v>7</v>
      </c>
      <c r="BC168" s="7">
        <v>18</v>
      </c>
      <c r="BD168" s="5">
        <v>4</v>
      </c>
      <c r="BE168" s="5">
        <v>4</v>
      </c>
      <c r="BF168" s="5">
        <v>1</v>
      </c>
      <c r="BG168" s="5">
        <v>1</v>
      </c>
      <c r="BH168" s="6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711</v>
      </c>
      <c r="CU168" s="60" t="str">
        <f t="shared" si="16"/>
        <v>.BOX-BBOX-B</v>
      </c>
      <c r="CY168" s="7" t="s">
        <v>521</v>
      </c>
    </row>
    <row r="169" spans="1:103">
      <c r="A169" s="37" t="str">
        <f t="shared" si="13"/>
        <v>LETTER-A (LTR-A)</v>
      </c>
      <c r="C169" s="7" t="s">
        <v>522</v>
      </c>
      <c r="D169" s="7" t="s">
        <v>523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5" t="s">
        <v>673</v>
      </c>
      <c r="AP169" s="5">
        <v>1</v>
      </c>
      <c r="AQ169" s="5">
        <v>12</v>
      </c>
      <c r="AR169" s="5" t="b">
        <v>1</v>
      </c>
      <c r="AS169" s="45" t="s">
        <v>673</v>
      </c>
      <c r="AT169" s="5">
        <v>1</v>
      </c>
      <c r="AU169" s="7">
        <v>36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5" t="s">
        <v>673</v>
      </c>
      <c r="BB169" s="5">
        <v>1</v>
      </c>
      <c r="BC169" s="7">
        <v>36</v>
      </c>
      <c r="BD169" s="5">
        <v>4</v>
      </c>
      <c r="BE169" s="5">
        <v>4</v>
      </c>
      <c r="BF169" s="5">
        <v>1</v>
      </c>
      <c r="BG169" s="5">
        <v>1</v>
      </c>
      <c r="BH169" s="6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712</v>
      </c>
      <c r="CU169" s="60" t="str">
        <f t="shared" si="16"/>
        <v>.LETTER-ALTR-A</v>
      </c>
      <c r="CY169" s="7" t="s">
        <v>522</v>
      </c>
    </row>
    <row r="170" spans="1:103">
      <c r="A170" s="37" t="str">
        <f t="shared" si="13"/>
        <v>LETTER-B (LTR-B)</v>
      </c>
      <c r="C170" s="7" t="s">
        <v>524</v>
      </c>
      <c r="D170" s="7" t="s">
        <v>525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5" t="s">
        <v>673</v>
      </c>
      <c r="AP170" s="5">
        <v>1</v>
      </c>
      <c r="AQ170" s="5">
        <v>12</v>
      </c>
      <c r="AR170" s="5" t="b">
        <v>1</v>
      </c>
      <c r="AS170" s="45" t="s">
        <v>673</v>
      </c>
      <c r="AT170" s="5">
        <v>7</v>
      </c>
      <c r="AU170" s="7">
        <v>18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5" t="s">
        <v>673</v>
      </c>
      <c r="BB170" s="5">
        <v>7</v>
      </c>
      <c r="BC170" s="7">
        <v>18</v>
      </c>
      <c r="BD170" s="5">
        <v>4</v>
      </c>
      <c r="BE170" s="5">
        <v>4</v>
      </c>
      <c r="BF170" s="5">
        <v>1</v>
      </c>
      <c r="BG170" s="5">
        <v>1</v>
      </c>
      <c r="BH170" s="63" t="s">
        <v>740</v>
      </c>
      <c r="BL170" s="36"/>
      <c r="BM170" s="5" t="s">
        <v>0</v>
      </c>
      <c r="BN170" s="7">
        <v>0</v>
      </c>
      <c r="BO170" s="5" t="b">
        <v>0</v>
      </c>
      <c r="BZ170" s="7" t="s">
        <v>712</v>
      </c>
      <c r="CU170" s="60" t="str">
        <f t="shared" si="16"/>
        <v>.LETTER-BLTR-B</v>
      </c>
      <c r="CY170" s="7" t="s">
        <v>524</v>
      </c>
    </row>
    <row r="171" spans="1:103">
      <c r="A171" s="37" t="str">
        <f t="shared" si="13"/>
        <v>LETTER-C (LTR-C)</v>
      </c>
      <c r="C171" s="7" t="s">
        <v>526</v>
      </c>
      <c r="D171" s="7" t="s">
        <v>527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5" t="s">
        <v>673</v>
      </c>
      <c r="AP171" s="5">
        <v>1</v>
      </c>
      <c r="AQ171" s="5">
        <v>12</v>
      </c>
      <c r="AR171" s="5" t="b">
        <v>1</v>
      </c>
      <c r="AS171" s="45" t="s">
        <v>673</v>
      </c>
      <c r="AT171" s="5">
        <v>8</v>
      </c>
      <c r="AU171" s="7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5" t="s">
        <v>673</v>
      </c>
      <c r="BB171" s="5">
        <v>8</v>
      </c>
      <c r="BC171" s="7">
        <v>18</v>
      </c>
      <c r="BD171" s="5">
        <v>4</v>
      </c>
      <c r="BE171" s="5">
        <v>4</v>
      </c>
      <c r="BF171" s="5">
        <v>1</v>
      </c>
      <c r="BG171" s="5">
        <v>1</v>
      </c>
      <c r="BH171" s="63" t="s">
        <v>740</v>
      </c>
      <c r="BL171" s="36"/>
      <c r="BM171" s="5" t="s">
        <v>0</v>
      </c>
      <c r="BN171" s="7">
        <v>0</v>
      </c>
      <c r="BO171" s="5" t="b">
        <v>0</v>
      </c>
      <c r="BZ171" s="7" t="s">
        <v>712</v>
      </c>
      <c r="CU171" s="60" t="str">
        <f t="shared" si="16"/>
        <v>.LETTER-CLTR-C</v>
      </c>
      <c r="CY171" s="7" t="s">
        <v>526</v>
      </c>
    </row>
    <row r="172" spans="1:103">
      <c r="A172" s="37" t="str">
        <f t="shared" si="13"/>
        <v>LETTER-D (LTR-D)</v>
      </c>
      <c r="C172" s="7" t="s">
        <v>528</v>
      </c>
      <c r="D172" s="7" t="s">
        <v>529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5" t="s">
        <v>673</v>
      </c>
      <c r="AP172" s="5">
        <v>1</v>
      </c>
      <c r="AQ172" s="5">
        <v>12</v>
      </c>
      <c r="AR172" s="5" t="b">
        <v>1</v>
      </c>
      <c r="AS172" s="45" t="s">
        <v>673</v>
      </c>
      <c r="AT172" s="5">
        <v>12</v>
      </c>
      <c r="AU172" s="7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5" t="s">
        <v>673</v>
      </c>
      <c r="BB172" s="5">
        <v>12</v>
      </c>
      <c r="BC172" s="7">
        <v>36</v>
      </c>
      <c r="BD172" s="5">
        <v>4</v>
      </c>
      <c r="BE172" s="5">
        <v>4</v>
      </c>
      <c r="BF172" s="5">
        <v>1</v>
      </c>
      <c r="BG172" s="5">
        <v>1</v>
      </c>
      <c r="BH172" s="63" t="s">
        <v>740</v>
      </c>
      <c r="BL172" s="36"/>
      <c r="BM172" s="5" t="s">
        <v>0</v>
      </c>
      <c r="BN172" s="7">
        <v>0</v>
      </c>
      <c r="BO172" s="5" t="b">
        <v>0</v>
      </c>
      <c r="BZ172" s="7" t="s">
        <v>712</v>
      </c>
      <c r="CU172" s="60" t="str">
        <f t="shared" si="16"/>
        <v>.LETTER-DLTR-D</v>
      </c>
      <c r="CY172" s="7" t="s">
        <v>528</v>
      </c>
    </row>
    <row r="173" spans="1:103">
      <c r="A173" s="37" t="str">
        <f t="shared" si="13"/>
        <v>COMPUTER-A (COM-A)</v>
      </c>
      <c r="C173" s="7" t="s">
        <v>530</v>
      </c>
      <c r="D173" s="7" t="s">
        <v>531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5" t="s">
        <v>673</v>
      </c>
      <c r="AP173" s="5">
        <v>1</v>
      </c>
      <c r="AQ173" s="5">
        <v>12</v>
      </c>
      <c r="AR173" s="5" t="b">
        <v>1</v>
      </c>
      <c r="AS173" s="45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5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63" t="s">
        <v>740</v>
      </c>
      <c r="BL173" s="36"/>
      <c r="BM173" s="5" t="s">
        <v>0</v>
      </c>
      <c r="BN173" s="7">
        <v>0</v>
      </c>
      <c r="BO173" s="5" t="b">
        <v>0</v>
      </c>
      <c r="BZ173" s="7" t="s">
        <v>713</v>
      </c>
      <c r="CU173" s="60" t="str">
        <f t="shared" si="16"/>
        <v>.COMPUTER-ACOM-A</v>
      </c>
      <c r="CY173" s="7" t="s">
        <v>530</v>
      </c>
    </row>
    <row r="174" spans="1:103">
      <c r="A174" s="37" t="str">
        <f t="shared" si="13"/>
        <v>COMPUTER-B (COM-B)</v>
      </c>
      <c r="C174" s="7" t="s">
        <v>532</v>
      </c>
      <c r="D174" s="7" t="s">
        <v>533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5" t="s">
        <v>673</v>
      </c>
      <c r="AP174" s="5">
        <v>1</v>
      </c>
      <c r="AQ174" s="5">
        <v>12</v>
      </c>
      <c r="AR174" s="5" t="b">
        <v>1</v>
      </c>
      <c r="AS174" s="45" t="s">
        <v>673</v>
      </c>
      <c r="AT174" s="5">
        <v>7</v>
      </c>
      <c r="AU174" s="7">
        <v>18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5" t="s">
        <v>673</v>
      </c>
      <c r="BB174" s="5">
        <v>7</v>
      </c>
      <c r="BC174" s="7">
        <v>18</v>
      </c>
      <c r="BD174" s="5">
        <v>4</v>
      </c>
      <c r="BE174" s="5">
        <v>4</v>
      </c>
      <c r="BF174" s="5">
        <v>1</v>
      </c>
      <c r="BG174" s="5">
        <v>1</v>
      </c>
      <c r="BH174" s="63" t="s">
        <v>740</v>
      </c>
      <c r="BL174" s="36"/>
      <c r="BM174" s="5" t="s">
        <v>0</v>
      </c>
      <c r="BN174" s="7">
        <v>0</v>
      </c>
      <c r="BO174" s="5" t="b">
        <v>0</v>
      </c>
      <c r="BZ174" s="7" t="s">
        <v>713</v>
      </c>
      <c r="CU174" s="60" t="str">
        <f t="shared" si="16"/>
        <v>.COMPUTER-BCOM-B</v>
      </c>
      <c r="CY174" s="7" t="s">
        <v>532</v>
      </c>
    </row>
    <row r="175" spans="1:103">
      <c r="A175" s="37" t="str">
        <f t="shared" si="13"/>
        <v>SIDEBAR-A (SIDE-A)</v>
      </c>
      <c r="C175" s="7" t="s">
        <v>534</v>
      </c>
      <c r="D175" s="7" t="s">
        <v>536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5" t="s">
        <v>673</v>
      </c>
      <c r="AP175" s="5">
        <v>1</v>
      </c>
      <c r="AQ175" s="5">
        <v>12</v>
      </c>
      <c r="AR175" s="5" t="b">
        <v>1</v>
      </c>
      <c r="AS175" s="45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5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2" t="s">
        <v>672</v>
      </c>
      <c r="BL175" s="36"/>
      <c r="BM175" s="5" t="s">
        <v>0</v>
      </c>
      <c r="BN175" s="7">
        <v>0</v>
      </c>
      <c r="BO175" s="5" t="b">
        <v>0</v>
      </c>
      <c r="BZ175" s="7" t="s">
        <v>714</v>
      </c>
      <c r="CU175" s="60" t="str">
        <f t="shared" si="16"/>
        <v>.SIDEBAR-ASIDE-A</v>
      </c>
      <c r="CY175" s="7" t="s">
        <v>534</v>
      </c>
    </row>
    <row r="176" spans="1:103">
      <c r="A176" s="37" t="str">
        <f t="shared" si="13"/>
        <v>SIDEBAR-B (SIDE-B)</v>
      </c>
      <c r="C176" s="7" t="s">
        <v>535</v>
      </c>
      <c r="D176" s="7" t="s">
        <v>537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18</v>
      </c>
      <c r="AF176" s="7">
        <v>6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1</v>
      </c>
      <c r="AO176" s="45" t="s">
        <v>673</v>
      </c>
      <c r="AP176" s="5">
        <v>1</v>
      </c>
      <c r="AQ176" s="5">
        <v>12</v>
      </c>
      <c r="AR176" s="5" t="b">
        <v>1</v>
      </c>
      <c r="AS176" s="45" t="s">
        <v>673</v>
      </c>
      <c r="AT176" s="5">
        <v>7</v>
      </c>
      <c r="AU176" s="7">
        <v>18</v>
      </c>
      <c r="AV176" s="5" t="b">
        <v>0</v>
      </c>
      <c r="AW176" s="6" t="s">
        <v>65</v>
      </c>
      <c r="AX176" s="5">
        <v>0</v>
      </c>
      <c r="AY176" s="5">
        <v>6</v>
      </c>
      <c r="AZ176" s="5" t="b">
        <v>1</v>
      </c>
      <c r="BA176" s="45" t="s">
        <v>673</v>
      </c>
      <c r="BB176" s="5">
        <v>7</v>
      </c>
      <c r="BC176" s="7">
        <v>18</v>
      </c>
      <c r="BD176" s="5">
        <v>4</v>
      </c>
      <c r="BE176" s="5">
        <v>4</v>
      </c>
      <c r="BF176" s="5">
        <v>1</v>
      </c>
      <c r="BG176" s="5">
        <v>1</v>
      </c>
      <c r="BH176" s="52" t="s">
        <v>672</v>
      </c>
      <c r="BL176" s="36"/>
      <c r="BM176" s="5" t="s">
        <v>0</v>
      </c>
      <c r="BN176" s="7">
        <v>0</v>
      </c>
      <c r="BO176" s="5" t="b">
        <v>0</v>
      </c>
      <c r="BZ176" s="7" t="s">
        <v>714</v>
      </c>
      <c r="CU176" s="60" t="str">
        <f t="shared" si="16"/>
        <v>.SIDEBAR-BSIDE-B</v>
      </c>
      <c r="CY176" s="7" t="s">
        <v>535</v>
      </c>
    </row>
    <row r="177" spans="1:103">
      <c r="A177" s="37" t="str">
        <f t="shared" si="13"/>
        <v>PULL-QUOTE (PQ)</v>
      </c>
      <c r="C177" s="7" t="s">
        <v>398</v>
      </c>
      <c r="D177" s="7" t="s">
        <v>399</v>
      </c>
      <c r="E177" s="7" t="s">
        <v>426</v>
      </c>
      <c r="F177" s="5">
        <v>3</v>
      </c>
      <c r="G177" s="7" t="b">
        <v>0</v>
      </c>
      <c r="H177" s="7">
        <v>1</v>
      </c>
      <c r="I177" s="5" t="s">
        <v>1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 t="b">
        <v>0</v>
      </c>
      <c r="Y177" s="5" t="b">
        <v>0</v>
      </c>
      <c r="Z177" s="5" t="b">
        <v>0</v>
      </c>
      <c r="AA177" s="5" t="b">
        <v>0</v>
      </c>
      <c r="AB177" s="5" t="b">
        <v>0</v>
      </c>
      <c r="AC177" s="7">
        <v>0</v>
      </c>
      <c r="AD177" s="7">
        <v>0</v>
      </c>
      <c r="AE177" s="7">
        <v>18</v>
      </c>
      <c r="AF177" s="7">
        <v>6</v>
      </c>
      <c r="AG177" s="7">
        <v>2</v>
      </c>
      <c r="AH177" s="7">
        <v>24</v>
      </c>
      <c r="AI177" s="7">
        <v>1</v>
      </c>
      <c r="AJ177" s="7">
        <v>0</v>
      </c>
      <c r="AK177" s="7">
        <v>10</v>
      </c>
      <c r="AL177" s="7" t="b">
        <v>0</v>
      </c>
      <c r="AM177" s="5" t="b">
        <v>0</v>
      </c>
      <c r="AN177" s="5" t="b">
        <v>1</v>
      </c>
      <c r="AO177" s="45" t="s">
        <v>673</v>
      </c>
      <c r="AP177" s="5">
        <v>1</v>
      </c>
      <c r="AQ177" s="5">
        <v>12</v>
      </c>
      <c r="AR177" s="5" t="b">
        <v>1</v>
      </c>
      <c r="AS177" s="45" t="s">
        <v>673</v>
      </c>
      <c r="AT177" s="5">
        <v>1</v>
      </c>
      <c r="AU177" s="7">
        <v>36</v>
      </c>
      <c r="AV177" s="5" t="b">
        <v>0</v>
      </c>
      <c r="AW177" s="6" t="s">
        <v>65</v>
      </c>
      <c r="AX177" s="5">
        <v>0</v>
      </c>
      <c r="AY177" s="5">
        <v>6</v>
      </c>
      <c r="AZ177" s="5" t="b">
        <v>1</v>
      </c>
      <c r="BA177" s="45" t="s">
        <v>673</v>
      </c>
      <c r="BB177" s="5">
        <v>1</v>
      </c>
      <c r="BC177" s="7">
        <v>36</v>
      </c>
      <c r="BD177" s="5">
        <v>4</v>
      </c>
      <c r="BE177" s="5">
        <v>4</v>
      </c>
      <c r="BF177" s="5">
        <v>1</v>
      </c>
      <c r="BG177" s="5">
        <v>1</v>
      </c>
      <c r="BH177" s="52" t="s">
        <v>672</v>
      </c>
      <c r="BL177" s="36"/>
      <c r="BM177" s="5" t="s">
        <v>0</v>
      </c>
      <c r="BN177" s="7">
        <v>0</v>
      </c>
      <c r="BO177" s="5" t="b">
        <v>0</v>
      </c>
      <c r="BZ177" s="7" t="s">
        <v>715</v>
      </c>
      <c r="CU177" s="60" t="str">
        <f t="shared" si="16"/>
        <v>.PULL-QUOTEPQ</v>
      </c>
      <c r="CY177" s="7" t="s">
        <v>398</v>
      </c>
    </row>
    <row r="178" spans="1:103">
      <c r="A178" s="37" t="str">
        <f t="shared" si="13"/>
        <v>IMAGE (IMG)</v>
      </c>
      <c r="C178" s="7" t="s">
        <v>538</v>
      </c>
      <c r="D178" s="7" t="s">
        <v>539</v>
      </c>
      <c r="E178" s="7" t="s">
        <v>426</v>
      </c>
      <c r="F178" s="5">
        <v>3</v>
      </c>
      <c r="G178" s="7" t="b">
        <v>0</v>
      </c>
      <c r="H178" s="7">
        <v>1</v>
      </c>
      <c r="I178" s="5" t="s">
        <v>1</v>
      </c>
      <c r="J178" s="7">
        <v>12</v>
      </c>
      <c r="K178" s="7" t="b">
        <v>0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 t="b">
        <v>0</v>
      </c>
      <c r="Y178" s="5" t="b">
        <v>0</v>
      </c>
      <c r="Z178" s="5" t="b">
        <v>0</v>
      </c>
      <c r="AA178" s="5" t="b">
        <v>0</v>
      </c>
      <c r="AB178" s="5" t="b">
        <v>0</v>
      </c>
      <c r="AC178" s="7">
        <v>0</v>
      </c>
      <c r="AD178" s="7">
        <v>0</v>
      </c>
      <c r="AE178" s="7">
        <v>18</v>
      </c>
      <c r="AF178" s="7">
        <v>6</v>
      </c>
      <c r="AG178" s="7">
        <v>2</v>
      </c>
      <c r="AH178" s="7">
        <v>24</v>
      </c>
      <c r="AI178" s="7">
        <v>1</v>
      </c>
      <c r="AJ178" s="7">
        <v>0</v>
      </c>
      <c r="AK178" s="7">
        <v>10</v>
      </c>
      <c r="AL178" s="7" t="b">
        <v>0</v>
      </c>
      <c r="AM178" s="5" t="b">
        <v>0</v>
      </c>
      <c r="AN178" s="5" t="b">
        <v>1</v>
      </c>
      <c r="AO178" s="45" t="s">
        <v>673</v>
      </c>
      <c r="AP178" s="5">
        <v>1</v>
      </c>
      <c r="AQ178" s="5">
        <v>12</v>
      </c>
      <c r="AR178" s="5" t="b">
        <v>1</v>
      </c>
      <c r="AS178" s="45" t="s">
        <v>673</v>
      </c>
      <c r="AT178" s="5">
        <v>1</v>
      </c>
      <c r="AU178" s="7">
        <v>36</v>
      </c>
      <c r="AV178" s="5" t="b">
        <v>0</v>
      </c>
      <c r="AW178" s="6" t="s">
        <v>65</v>
      </c>
      <c r="AX178" s="5">
        <v>0</v>
      </c>
      <c r="AY178" s="5">
        <v>6</v>
      </c>
      <c r="AZ178" s="5" t="b">
        <v>1</v>
      </c>
      <c r="BA178" s="45" t="s">
        <v>673</v>
      </c>
      <c r="BB178" s="5">
        <v>1</v>
      </c>
      <c r="BC178" s="7">
        <v>36</v>
      </c>
      <c r="BD178" s="5">
        <v>4</v>
      </c>
      <c r="BE178" s="5">
        <v>4</v>
      </c>
      <c r="BF178" s="5">
        <v>1</v>
      </c>
      <c r="BG178" s="5">
        <v>1</v>
      </c>
      <c r="BH178" s="52" t="s">
        <v>672</v>
      </c>
      <c r="BL178" s="36"/>
      <c r="BM178" s="5" t="s">
        <v>0</v>
      </c>
      <c r="BN178" s="7">
        <v>0</v>
      </c>
      <c r="BO178" s="5" t="b">
        <v>0</v>
      </c>
      <c r="BZ178" s="7" t="s">
        <v>716</v>
      </c>
      <c r="CU178" s="60" t="str">
        <f>"."&amp;SUBSTITUTE(SUBSTITUTE(SUBSTITUTE(SUBSTITUTE(A178, "(",""),")","")," ",""),"#","")</f>
        <v>.IMAGEIMG</v>
      </c>
      <c r="CY178" s="7" t="s">
        <v>538</v>
      </c>
    </row>
    <row r="179" spans="1:103">
      <c r="A179" s="37" t="str">
        <f>IF($D179="","",TRIM($C179)&amp;" "&amp;CHAR(40)&amp;TRIM($D179)&amp;CHAR(41))</f>
        <v>TABLE (TBL)</v>
      </c>
      <c r="C179" s="7" t="s">
        <v>540</v>
      </c>
      <c r="D179" s="7" t="s">
        <v>541</v>
      </c>
      <c r="E179" s="7" t="s">
        <v>426</v>
      </c>
      <c r="F179" s="5">
        <v>3</v>
      </c>
      <c r="G179" s="7" t="b">
        <v>0</v>
      </c>
      <c r="H179" s="7">
        <v>1</v>
      </c>
      <c r="I179" s="5" t="s">
        <v>1</v>
      </c>
      <c r="J179" s="7">
        <v>12</v>
      </c>
      <c r="K179" s="7" t="b">
        <v>0</v>
      </c>
      <c r="L179" s="5" t="b">
        <v>1</v>
      </c>
      <c r="M179" s="6" t="s">
        <v>65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 t="b">
        <v>0</v>
      </c>
      <c r="Y179" s="5" t="b">
        <v>0</v>
      </c>
      <c r="Z179" s="5" t="b">
        <v>0</v>
      </c>
      <c r="AA179" s="5" t="b">
        <v>0</v>
      </c>
      <c r="AB179" s="5" t="b">
        <v>0</v>
      </c>
      <c r="AC179" s="7">
        <v>0</v>
      </c>
      <c r="AD179" s="7">
        <v>0</v>
      </c>
      <c r="AE179" s="7">
        <v>18</v>
      </c>
      <c r="AF179" s="7">
        <v>6</v>
      </c>
      <c r="AG179" s="7">
        <v>2</v>
      </c>
      <c r="AH179" s="7">
        <v>24</v>
      </c>
      <c r="AI179" s="7">
        <v>1</v>
      </c>
      <c r="AJ179" s="7">
        <v>0</v>
      </c>
      <c r="AK179" s="7">
        <v>10</v>
      </c>
      <c r="AL179" s="7" t="b">
        <v>0</v>
      </c>
      <c r="AM179" s="5" t="b">
        <v>0</v>
      </c>
      <c r="AN179" s="5" t="b">
        <v>1</v>
      </c>
      <c r="AO179" s="45" t="s">
        <v>673</v>
      </c>
      <c r="AP179" s="5">
        <v>1</v>
      </c>
      <c r="AQ179" s="5">
        <v>12</v>
      </c>
      <c r="AR179" s="5" t="b">
        <v>1</v>
      </c>
      <c r="AS179" s="45" t="s">
        <v>673</v>
      </c>
      <c r="AT179" s="5">
        <v>1</v>
      </c>
      <c r="AU179" s="7">
        <v>36</v>
      </c>
      <c r="AV179" s="5" t="b">
        <v>0</v>
      </c>
      <c r="AW179" s="6" t="s">
        <v>65</v>
      </c>
      <c r="AX179" s="5">
        <v>0</v>
      </c>
      <c r="AY179" s="5">
        <v>6</v>
      </c>
      <c r="AZ179" s="5" t="b">
        <v>1</v>
      </c>
      <c r="BA179" s="45" t="s">
        <v>673</v>
      </c>
      <c r="BB179" s="5">
        <v>1</v>
      </c>
      <c r="BC179" s="7">
        <v>36</v>
      </c>
      <c r="BD179" s="5">
        <v>4</v>
      </c>
      <c r="BE179" s="5">
        <v>4</v>
      </c>
      <c r="BF179" s="5">
        <v>1</v>
      </c>
      <c r="BG179" s="5">
        <v>1</v>
      </c>
      <c r="BH179" s="52" t="s">
        <v>672</v>
      </c>
      <c r="BL179" s="36"/>
      <c r="BM179" s="5" t="s">
        <v>0</v>
      </c>
      <c r="BN179" s="7">
        <v>0</v>
      </c>
      <c r="BO179" s="5" t="b">
        <v>0</v>
      </c>
      <c r="BZ179" s="7" t="s">
        <v>717</v>
      </c>
      <c r="CU179" s="60" t="str">
        <f t="shared" si="16"/>
        <v>.TABLETBL</v>
      </c>
      <c r="CY179" s="7" t="s">
        <v>540</v>
      </c>
    </row>
    <row r="180" spans="1:103">
      <c r="A180" s="37" t="str">
        <f t="shared" si="13"/>
        <v>RECIPE (REC)</v>
      </c>
      <c r="C180" s="7" t="s">
        <v>574</v>
      </c>
      <c r="D180" s="7" t="s">
        <v>575</v>
      </c>
      <c r="E180" s="7" t="s">
        <v>426</v>
      </c>
      <c r="F180" s="5">
        <v>3</v>
      </c>
      <c r="G180" s="7" t="b">
        <v>0</v>
      </c>
      <c r="H180" s="7">
        <v>1</v>
      </c>
      <c r="I180" s="5" t="s">
        <v>1</v>
      </c>
      <c r="J180" s="7">
        <v>12</v>
      </c>
      <c r="K180" s="7" t="b">
        <v>0</v>
      </c>
      <c r="L180" s="5" t="b">
        <v>1</v>
      </c>
      <c r="M180" s="6" t="s">
        <v>65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 t="b">
        <v>0</v>
      </c>
      <c r="Y180" s="5" t="b">
        <v>0</v>
      </c>
      <c r="Z180" s="5" t="b">
        <v>0</v>
      </c>
      <c r="AA180" s="5" t="b">
        <v>0</v>
      </c>
      <c r="AB180" s="5" t="b">
        <v>0</v>
      </c>
      <c r="AC180" s="7">
        <v>0</v>
      </c>
      <c r="AD180" s="7">
        <v>0</v>
      </c>
      <c r="AE180" s="7">
        <v>18</v>
      </c>
      <c r="AF180" s="7">
        <v>6</v>
      </c>
      <c r="AG180" s="7">
        <v>2</v>
      </c>
      <c r="AH180" s="7">
        <v>24</v>
      </c>
      <c r="AI180" s="7">
        <v>1</v>
      </c>
      <c r="AJ180" s="7">
        <v>0</v>
      </c>
      <c r="AK180" s="7">
        <v>10</v>
      </c>
      <c r="AL180" s="7" t="b">
        <v>0</v>
      </c>
      <c r="AM180" s="5" t="b">
        <v>0</v>
      </c>
      <c r="AN180" s="5" t="b">
        <v>1</v>
      </c>
      <c r="AO180" s="45" t="s">
        <v>673</v>
      </c>
      <c r="AP180" s="5">
        <v>1</v>
      </c>
      <c r="AQ180" s="5">
        <v>12</v>
      </c>
      <c r="AR180" s="5" t="b">
        <v>1</v>
      </c>
      <c r="AS180" s="45" t="s">
        <v>673</v>
      </c>
      <c r="AT180" s="5">
        <v>1</v>
      </c>
      <c r="AU180" s="7">
        <v>36</v>
      </c>
      <c r="AV180" s="5" t="b">
        <v>0</v>
      </c>
      <c r="AW180" s="6" t="s">
        <v>65</v>
      </c>
      <c r="AX180" s="5">
        <v>0</v>
      </c>
      <c r="AY180" s="5">
        <v>6</v>
      </c>
      <c r="AZ180" s="5" t="b">
        <v>1</v>
      </c>
      <c r="BA180" s="45" t="s">
        <v>673</v>
      </c>
      <c r="BB180" s="5">
        <v>1</v>
      </c>
      <c r="BC180" s="7">
        <v>36</v>
      </c>
      <c r="BD180" s="5">
        <v>4</v>
      </c>
      <c r="BE180" s="5">
        <v>4</v>
      </c>
      <c r="BF180" s="5">
        <v>1</v>
      </c>
      <c r="BG180" s="5">
        <v>1</v>
      </c>
      <c r="BH180" s="63" t="s">
        <v>740</v>
      </c>
      <c r="BL180" s="36"/>
      <c r="BM180" s="5" t="s">
        <v>0</v>
      </c>
      <c r="BN180" s="7">
        <v>0</v>
      </c>
      <c r="BO180" s="5" t="b">
        <v>0</v>
      </c>
      <c r="BZ180" s="7" t="s">
        <v>704</v>
      </c>
      <c r="CU180" s="60" t="str">
        <f t="shared" si="16"/>
        <v>.RECIPEREC</v>
      </c>
      <c r="CY180" s="7" t="s">
        <v>574</v>
      </c>
    </row>
    <row r="181" spans="1:103">
      <c r="A181" s="37" t="str">
        <f t="shared" si="13"/>
        <v>END (END)</v>
      </c>
      <c r="C181" s="7" t="s">
        <v>576</v>
      </c>
      <c r="D181" s="7" t="s">
        <v>576</v>
      </c>
      <c r="E181" s="7" t="s">
        <v>426</v>
      </c>
      <c r="F181" s="5">
        <v>3</v>
      </c>
      <c r="G181" s="7" t="b">
        <v>0</v>
      </c>
      <c r="H181" s="7">
        <v>1</v>
      </c>
      <c r="I181" s="5" t="s">
        <v>1</v>
      </c>
      <c r="J181" s="7">
        <v>12</v>
      </c>
      <c r="K181" s="7" t="b">
        <v>0</v>
      </c>
      <c r="L181" s="5" t="b">
        <v>1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 t="b">
        <v>0</v>
      </c>
      <c r="Y181" s="5" t="b">
        <v>0</v>
      </c>
      <c r="Z181" s="5" t="b">
        <v>0</v>
      </c>
      <c r="AA181" s="5" t="b">
        <v>0</v>
      </c>
      <c r="AB181" s="5" t="b">
        <v>0</v>
      </c>
      <c r="AC181" s="7">
        <v>0</v>
      </c>
      <c r="AD181" s="7">
        <v>0</v>
      </c>
      <c r="AE181" s="7">
        <v>6</v>
      </c>
      <c r="AF181" s="7">
        <v>18</v>
      </c>
      <c r="AG181" s="7">
        <v>2</v>
      </c>
      <c r="AH181" s="7">
        <v>24</v>
      </c>
      <c r="AI181" s="7">
        <v>1</v>
      </c>
      <c r="AJ181" s="7">
        <v>0</v>
      </c>
      <c r="AK181" s="7">
        <v>10</v>
      </c>
      <c r="AL181" s="7" t="b">
        <v>0</v>
      </c>
      <c r="AM181" s="5" t="b">
        <v>0</v>
      </c>
      <c r="AN181" s="5" t="b">
        <v>0</v>
      </c>
      <c r="AO181" s="6" t="s">
        <v>65</v>
      </c>
      <c r="AP181" s="5">
        <v>0</v>
      </c>
      <c r="AQ181" s="5">
        <v>6</v>
      </c>
      <c r="AR181" s="5" t="b">
        <v>1</v>
      </c>
      <c r="AS181" s="25" t="s">
        <v>675</v>
      </c>
      <c r="AT181" s="5">
        <v>1</v>
      </c>
      <c r="AU181" s="5">
        <v>36</v>
      </c>
      <c r="AV181" s="44" t="b">
        <v>1</v>
      </c>
      <c r="AW181" s="25" t="s">
        <v>675</v>
      </c>
      <c r="AX181" s="5">
        <v>1</v>
      </c>
      <c r="AY181" s="5">
        <v>12</v>
      </c>
      <c r="AZ181" s="5" t="b">
        <v>1</v>
      </c>
      <c r="BA181" s="25" t="s">
        <v>675</v>
      </c>
      <c r="BB181" s="5">
        <v>1</v>
      </c>
      <c r="BC181" s="7">
        <v>36</v>
      </c>
      <c r="BD181" s="5">
        <v>4</v>
      </c>
      <c r="BE181" s="5">
        <v>4</v>
      </c>
      <c r="BF181" s="5">
        <v>1</v>
      </c>
      <c r="BG181" s="5">
        <v>1</v>
      </c>
      <c r="BH181" s="53" t="s">
        <v>674</v>
      </c>
      <c r="BL181" s="36"/>
      <c r="BM181" s="5" t="s">
        <v>0</v>
      </c>
      <c r="BN181" s="7">
        <v>0</v>
      </c>
      <c r="BO181" s="5" t="b">
        <v>0</v>
      </c>
      <c r="CA181" s="7" t="b">
        <v>1</v>
      </c>
      <c r="CO181" s="7" t="b">
        <v>1</v>
      </c>
      <c r="CU181" s="60" t="str">
        <f t="shared" si="16"/>
        <v>.ENDEND</v>
      </c>
    </row>
    <row r="182" spans="1:103">
      <c r="A182" s="37" t="str">
        <f t="shared" si="13"/>
        <v>bold (b)</v>
      </c>
      <c r="C182" s="7" t="s">
        <v>400</v>
      </c>
      <c r="D182" s="7" t="s">
        <v>401</v>
      </c>
      <c r="E182" s="37" t="str">
        <f t="shared" ref="E182:E214" si="18">IF($D182="","",TRIM($C182)&amp;" "&amp;CHAR(40)&amp;TRIM($D182)&amp;CHAR(41))</f>
        <v>bold (b)</v>
      </c>
      <c r="F182" s="5">
        <v>2</v>
      </c>
      <c r="G182" s="7" t="b">
        <v>1</v>
      </c>
      <c r="H182" s="5">
        <v>2</v>
      </c>
      <c r="I182" s="5" t="s">
        <v>66</v>
      </c>
      <c r="J182" s="7">
        <v>12</v>
      </c>
      <c r="K182" s="7" t="b">
        <v>0</v>
      </c>
      <c r="L182" s="5" t="b">
        <v>1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0" t="s">
        <v>665</v>
      </c>
      <c r="BM182" s="5" t="s">
        <v>69</v>
      </c>
      <c r="BN182" s="5"/>
      <c r="BO182" s="5" t="b">
        <v>0</v>
      </c>
      <c r="CU182" s="60" t="str">
        <f t="shared" si="16"/>
        <v>.boldb</v>
      </c>
    </row>
    <row r="183" spans="1:103">
      <c r="A183" s="37" t="str">
        <f t="shared" si="13"/>
        <v>ital (i)</v>
      </c>
      <c r="C183" s="7" t="s">
        <v>216</v>
      </c>
      <c r="D183" s="7" t="s">
        <v>402</v>
      </c>
      <c r="E183" s="37" t="str">
        <f t="shared" si="18"/>
        <v>ital (i)</v>
      </c>
      <c r="F183" s="5">
        <v>2</v>
      </c>
      <c r="G183" s="7" t="b">
        <v>1</v>
      </c>
      <c r="H183" s="5">
        <v>2</v>
      </c>
      <c r="I183" s="5" t="s">
        <v>66</v>
      </c>
      <c r="J183" s="7">
        <v>12</v>
      </c>
      <c r="K183" s="7" t="b">
        <v>1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0" t="s">
        <v>665</v>
      </c>
      <c r="BM183" s="5" t="s">
        <v>69</v>
      </c>
      <c r="BN183" s="5"/>
      <c r="BO183" s="5" t="b">
        <v>0</v>
      </c>
      <c r="CU183" s="60" t="str">
        <f t="shared" si="16"/>
        <v>.itali</v>
      </c>
    </row>
    <row r="184" spans="1:103">
      <c r="A184" s="37" t="str">
        <f t="shared" si="13"/>
        <v>underline (u)</v>
      </c>
      <c r="C184" s="7" t="s">
        <v>403</v>
      </c>
      <c r="D184" s="7" t="s">
        <v>404</v>
      </c>
      <c r="E184" s="37" t="str">
        <f t="shared" si="18"/>
        <v>underline (u)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1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0" t="s">
        <v>665</v>
      </c>
      <c r="BM184" s="5" t="s">
        <v>69</v>
      </c>
      <c r="BN184" s="5"/>
      <c r="BO184" s="5" t="b">
        <v>0</v>
      </c>
      <c r="CU184" s="60" t="str">
        <f t="shared" si="16"/>
        <v>.underlineu</v>
      </c>
    </row>
    <row r="185" spans="1:103">
      <c r="A185" s="37" t="str">
        <f t="shared" si="13"/>
        <v>smallcaps (sc)</v>
      </c>
      <c r="C185" s="7" t="s">
        <v>405</v>
      </c>
      <c r="D185" s="7" t="s">
        <v>570</v>
      </c>
      <c r="E185" s="37" t="str">
        <f t="shared" si="18"/>
        <v>smallcaps (sc)</v>
      </c>
      <c r="F185" s="5">
        <v>2</v>
      </c>
      <c r="G185" s="7" t="b">
        <v>1</v>
      </c>
      <c r="H185" s="5">
        <v>2</v>
      </c>
      <c r="I185" s="5" t="s">
        <v>66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1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0" t="s">
        <v>665</v>
      </c>
      <c r="BM185" s="5" t="s">
        <v>69</v>
      </c>
      <c r="BN185" s="5"/>
      <c r="BO185" s="5" t="b">
        <v>0</v>
      </c>
      <c r="CU185" s="60" t="str">
        <f t="shared" si="16"/>
        <v>.smallcapssc</v>
      </c>
    </row>
    <row r="186" spans="1:103">
      <c r="A186" s="37" t="str">
        <f t="shared" si="13"/>
        <v>super (sup)</v>
      </c>
      <c r="C186" s="7" t="s">
        <v>406</v>
      </c>
      <c r="D186" s="7" t="s">
        <v>571</v>
      </c>
      <c r="E186" s="37" t="str">
        <f t="shared" si="18"/>
        <v>super (sup)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1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0" t="s">
        <v>665</v>
      </c>
      <c r="BM186" s="5" t="s">
        <v>69</v>
      </c>
      <c r="BN186" s="5"/>
      <c r="BO186" s="5" t="b">
        <v>0</v>
      </c>
      <c r="CU186" s="60" t="str">
        <f t="shared" si="16"/>
        <v>.supersup</v>
      </c>
    </row>
    <row r="187" spans="1:103">
      <c r="A187" s="37" t="str">
        <f t="shared" si="13"/>
        <v>sub (sub)</v>
      </c>
      <c r="C187" s="7" t="s">
        <v>217</v>
      </c>
      <c r="D187" s="7" t="s">
        <v>217</v>
      </c>
      <c r="E187" s="37" t="str">
        <f t="shared" si="18"/>
        <v>sub (sub)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1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0" t="s">
        <v>665</v>
      </c>
      <c r="BM187" s="5" t="s">
        <v>69</v>
      </c>
      <c r="BN187" s="5"/>
      <c r="BO187" s="5" t="b">
        <v>0</v>
      </c>
      <c r="CU187" s="60" t="str">
        <f t="shared" si="16"/>
        <v>.subsub</v>
      </c>
    </row>
    <row r="188" spans="1:103">
      <c r="A188" s="37" t="str">
        <f t="shared" si="13"/>
        <v>strike (str)</v>
      </c>
      <c r="C188" s="7" t="s">
        <v>407</v>
      </c>
      <c r="D188" s="7" t="s">
        <v>572</v>
      </c>
      <c r="E188" s="37" t="str">
        <f t="shared" si="18"/>
        <v>strike (str)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1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65</v>
      </c>
      <c r="BJ188" s="5">
        <v>0</v>
      </c>
      <c r="BK188" s="5">
        <v>0</v>
      </c>
      <c r="BL188" s="40" t="s">
        <v>665</v>
      </c>
      <c r="BM188" s="5" t="s">
        <v>69</v>
      </c>
      <c r="BN188" s="5"/>
      <c r="BO188" s="5" t="b">
        <v>0</v>
      </c>
      <c r="CU188" s="60" t="str">
        <f t="shared" si="16"/>
        <v>.strikestr</v>
      </c>
    </row>
    <row r="189" spans="1:103">
      <c r="A189" s="37" t="str">
        <f t="shared" si="13"/>
        <v>bold-ital (bi)</v>
      </c>
      <c r="C189" s="7" t="s">
        <v>700</v>
      </c>
      <c r="D189" s="7" t="s">
        <v>678</v>
      </c>
      <c r="E189" s="37" t="str">
        <f t="shared" si="18"/>
        <v>bold-ital (bi)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7" t="b">
        <v>1</v>
      </c>
      <c r="L189" s="5" t="b">
        <v>1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0" t="s">
        <v>665</v>
      </c>
      <c r="BM189" s="5" t="s">
        <v>69</v>
      </c>
      <c r="BN189" s="5"/>
      <c r="BO189" s="5" t="b">
        <v>0</v>
      </c>
      <c r="CU189" s="60" t="str">
        <f>"."&amp;SUBSTITUTE(SUBSTITUTE(SUBSTITUTE(SUBSTITUTE(A189, "(",""),")","")," ",""),"#","")</f>
        <v>.bold-italbi</v>
      </c>
    </row>
    <row r="190" spans="1:103">
      <c r="A190" s="37" t="str">
        <f>IF($D190="","",TRIM($C190)&amp;" "&amp;CHAR(40)&amp;TRIM($D190)&amp;CHAR(41))</f>
        <v>smallcaps-ital (sci)</v>
      </c>
      <c r="C190" s="7" t="s">
        <v>683</v>
      </c>
      <c r="D190" s="7" t="s">
        <v>679</v>
      </c>
      <c r="E190" s="37" t="str">
        <f>IF($D190="","",TRIM($C190)&amp;" "&amp;CHAR(40)&amp;TRIM($D190)&amp;CHAR(41))</f>
        <v>smallcaps-ital (sci)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7" t="b">
        <v>1</v>
      </c>
      <c r="L190" s="7" t="b">
        <v>0</v>
      </c>
      <c r="M190" s="6" t="s">
        <v>65</v>
      </c>
      <c r="N190" s="5" t="b">
        <v>0</v>
      </c>
      <c r="O190" s="7" t="b">
        <v>1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40" t="s">
        <v>665</v>
      </c>
      <c r="BM190" s="5" t="s">
        <v>69</v>
      </c>
      <c r="BO190" s="5" t="b">
        <v>0</v>
      </c>
      <c r="CU190" s="60" t="str">
        <f>"."&amp;SUBSTITUTE(SUBSTITUTE(SUBSTITUTE(SUBSTITUTE(A190, "(",""),")","")," ",""),"#","")</f>
        <v>.smallcaps-italsci</v>
      </c>
    </row>
    <row r="191" spans="1:103">
      <c r="A191" s="37" t="str">
        <f>IF($D191="","",TRIM($C191)&amp;" "&amp;CHAR(40)&amp;TRIM($D191)&amp;CHAR(41))</f>
        <v>smallcaps-bold (scb)</v>
      </c>
      <c r="C191" s="7" t="s">
        <v>681</v>
      </c>
      <c r="D191" s="7" t="s">
        <v>682</v>
      </c>
      <c r="E191" s="37" t="str">
        <f>IF($D191="","",TRIM($C191)&amp;" "&amp;CHAR(40)&amp;TRIM($D191)&amp;CHAR(41))</f>
        <v>smallcaps-bold (scb)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7" t="b">
        <v>0</v>
      </c>
      <c r="L191" s="7" t="b">
        <v>1</v>
      </c>
      <c r="M191" s="6" t="s">
        <v>65</v>
      </c>
      <c r="N191" s="5" t="b">
        <v>0</v>
      </c>
      <c r="O191" s="7" t="b">
        <v>1</v>
      </c>
      <c r="P191" s="7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I191" s="6" t="s">
        <v>65</v>
      </c>
      <c r="BJ191" s="5">
        <v>0</v>
      </c>
      <c r="BK191" s="5">
        <v>0</v>
      </c>
      <c r="BL191" s="40" t="s">
        <v>665</v>
      </c>
      <c r="BM191" s="5" t="s">
        <v>69</v>
      </c>
      <c r="BO191" s="5" t="b">
        <v>0</v>
      </c>
      <c r="CU191" s="60" t="str">
        <f>"."&amp;SUBSTITUTE(SUBSTITUTE(SUBSTITUTE(SUBSTITUTE(A191, "(",""),")","")," ",""),"#","")</f>
        <v>.smallcaps-boldscb</v>
      </c>
    </row>
    <row r="192" spans="1:103">
      <c r="A192" s="37" t="str">
        <f>IF($D192="","",TRIM($C192)&amp;" "&amp;CHAR(40)&amp;TRIM($D192)&amp;CHAR(41))</f>
        <v>smallcaps-bold-ital (scbi)</v>
      </c>
      <c r="C192" s="7" t="s">
        <v>684</v>
      </c>
      <c r="D192" s="7" t="s">
        <v>685</v>
      </c>
      <c r="E192" s="37" t="str">
        <f>IF($D192="","",TRIM($C192)&amp;" "&amp;CHAR(40)&amp;TRIM($D192)&amp;CHAR(41))</f>
        <v>smallcaps-bold-ital (scbi)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7" t="b">
        <v>1</v>
      </c>
      <c r="L192" s="7" t="b">
        <v>1</v>
      </c>
      <c r="M192" s="6" t="s">
        <v>65</v>
      </c>
      <c r="N192" s="5" t="b">
        <v>0</v>
      </c>
      <c r="O192" s="7" t="b">
        <v>1</v>
      </c>
      <c r="P192" s="7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BI192" s="6" t="s">
        <v>65</v>
      </c>
      <c r="BJ192" s="5">
        <v>0</v>
      </c>
      <c r="BK192" s="5">
        <v>0</v>
      </c>
      <c r="BL192" s="40" t="s">
        <v>665</v>
      </c>
      <c r="BM192" s="5" t="s">
        <v>69</v>
      </c>
      <c r="BO192" s="5" t="b">
        <v>0</v>
      </c>
      <c r="CU192" s="60" t="str">
        <f>"."&amp;SUBSTITUTE(SUBSTITUTE(SUBSTITUTE(SUBSTITUTE(A192, "(",""),")","")," ",""),"#","")</f>
        <v>.smallcaps-bold-italscbi</v>
      </c>
    </row>
    <row r="193" spans="1:99">
      <c r="A193" s="37" t="str">
        <f>IF($D193="","",TRIM($C193)&amp;" "&amp;CHAR(40)&amp;TRIM($D193)&amp;CHAR(41))</f>
        <v>super-ital (supi)</v>
      </c>
      <c r="C193" s="7" t="s">
        <v>689</v>
      </c>
      <c r="D193" s="7" t="s">
        <v>680</v>
      </c>
      <c r="E193" s="37" t="str">
        <f>IF($D193="","",TRIM($C193)&amp;" "&amp;CHAR(40)&amp;TRIM($D193)&amp;CHAR(41))</f>
        <v>super-ital (supi)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7" t="b">
        <v>1</v>
      </c>
      <c r="L193" s="7" t="b">
        <v>0</v>
      </c>
      <c r="M193" s="6" t="s">
        <v>65</v>
      </c>
      <c r="N193" s="5" t="b">
        <v>0</v>
      </c>
      <c r="O193" s="7" t="b">
        <v>0</v>
      </c>
      <c r="P193" s="7" t="b">
        <v>1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BI193" s="6" t="s">
        <v>65</v>
      </c>
      <c r="BJ193" s="5">
        <v>0</v>
      </c>
      <c r="BK193" s="5">
        <v>0</v>
      </c>
      <c r="BL193" s="40" t="s">
        <v>665</v>
      </c>
      <c r="BM193" s="5" t="s">
        <v>69</v>
      </c>
      <c r="BO193" s="5" t="b">
        <v>0</v>
      </c>
      <c r="CU193" s="60" t="str">
        <f t="shared" si="16"/>
        <v>.super-italsupi</v>
      </c>
    </row>
    <row r="194" spans="1:99">
      <c r="A194" s="37" t="str">
        <f t="shared" si="13"/>
        <v>cstyle1 (cs1)</v>
      </c>
      <c r="C194" s="7" t="s">
        <v>542</v>
      </c>
      <c r="D194" s="7" t="s">
        <v>543</v>
      </c>
      <c r="E194" s="37" t="str">
        <f t="shared" si="18"/>
        <v>cstyle1 (cs1)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65" t="s">
        <v>831</v>
      </c>
      <c r="BM194" s="5" t="s">
        <v>69</v>
      </c>
      <c r="BN194" s="5"/>
      <c r="BO194" s="5" t="b">
        <v>0</v>
      </c>
      <c r="CU194" s="60" t="str">
        <f t="shared" si="16"/>
        <v>.cstyle1cs1</v>
      </c>
    </row>
    <row r="195" spans="1:99">
      <c r="A195" s="37" t="str">
        <f>IF($D195="","",TRIM($C195)&amp;" "&amp;CHAR(40)&amp;TRIM($D195)&amp;CHAR(41))</f>
        <v>cstyle2 (cs2)</v>
      </c>
      <c r="C195" s="7" t="s">
        <v>544</v>
      </c>
      <c r="D195" s="7" t="s">
        <v>545</v>
      </c>
      <c r="E195" s="37" t="str">
        <f t="shared" si="18"/>
        <v>cstyle2 (cs2)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66" t="s">
        <v>832</v>
      </c>
      <c r="BM195" s="5" t="s">
        <v>69</v>
      </c>
      <c r="BN195" s="5"/>
      <c r="BO195" s="5" t="b">
        <v>0</v>
      </c>
      <c r="CU195" s="60" t="str">
        <f t="shared" si="16"/>
        <v>.cstyle2cs2</v>
      </c>
    </row>
    <row r="196" spans="1:99">
      <c r="A196" s="37" t="str">
        <f t="shared" si="13"/>
        <v>cstyle3 (cs3)</v>
      </c>
      <c r="C196" s="7" t="s">
        <v>821</v>
      </c>
      <c r="D196" s="7" t="s">
        <v>825</v>
      </c>
      <c r="E196" s="37" t="str">
        <f t="shared" si="18"/>
        <v>cstyle3 (cs3)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67" t="s">
        <v>833</v>
      </c>
      <c r="BM196" s="5" t="s">
        <v>69</v>
      </c>
      <c r="BN196" s="5"/>
      <c r="BO196" s="5" t="b">
        <v>0</v>
      </c>
      <c r="CU196" s="60" t="str">
        <f t="shared" ref="CU196:CU199" si="19">"."&amp;SUBSTITUTE(SUBSTITUTE(SUBSTITUTE(SUBSTITUTE(A196, "(",""),")","")," ",""),"#","")</f>
        <v>.cstyle3cs3</v>
      </c>
    </row>
    <row r="197" spans="1:99">
      <c r="A197" s="37" t="str">
        <f t="shared" si="13"/>
        <v>cstyle4 (cs4)</v>
      </c>
      <c r="C197" s="7" t="s">
        <v>822</v>
      </c>
      <c r="D197" s="7" t="s">
        <v>826</v>
      </c>
      <c r="E197" s="37" t="str">
        <f t="shared" si="18"/>
        <v>cstyle4 (cs4)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68" t="s">
        <v>834</v>
      </c>
      <c r="BM197" s="5" t="s">
        <v>69</v>
      </c>
      <c r="BN197" s="5"/>
      <c r="BO197" s="5" t="b">
        <v>0</v>
      </c>
      <c r="CU197" s="60" t="str">
        <f t="shared" si="19"/>
        <v>.cstyle4cs4</v>
      </c>
    </row>
    <row r="198" spans="1:99">
      <c r="A198" s="37" t="str">
        <f t="shared" si="13"/>
        <v>cstyle5 (cs5)</v>
      </c>
      <c r="C198" s="7" t="s">
        <v>823</v>
      </c>
      <c r="D198" s="7" t="s">
        <v>827</v>
      </c>
      <c r="E198" s="37" t="str">
        <f t="shared" si="18"/>
        <v>cstyle5 (cs5)</v>
      </c>
      <c r="F198" s="5">
        <v>2</v>
      </c>
      <c r="G198" s="7" t="b">
        <v>0</v>
      </c>
      <c r="H198" s="5">
        <v>2</v>
      </c>
      <c r="I198" s="5" t="s">
        <v>66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65</v>
      </c>
      <c r="BJ198" s="5">
        <v>0</v>
      </c>
      <c r="BK198" s="5">
        <v>0</v>
      </c>
      <c r="BL198" s="69" t="s">
        <v>835</v>
      </c>
      <c r="BM198" s="5" t="s">
        <v>69</v>
      </c>
      <c r="BN198" s="5"/>
      <c r="BO198" s="5" t="b">
        <v>0</v>
      </c>
      <c r="CU198" s="60" t="str">
        <f t="shared" si="19"/>
        <v>.cstyle5cs5</v>
      </c>
    </row>
    <row r="199" spans="1:99">
      <c r="A199" s="37" t="str">
        <f t="shared" si="13"/>
        <v>cstyle6 (cs6)</v>
      </c>
      <c r="C199" s="7" t="s">
        <v>824</v>
      </c>
      <c r="D199" s="7" t="s">
        <v>828</v>
      </c>
      <c r="E199" s="37" t="str">
        <f t="shared" si="18"/>
        <v>cstyle6 (cs6)</v>
      </c>
      <c r="F199" s="5">
        <v>2</v>
      </c>
      <c r="G199" s="7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70" t="s">
        <v>836</v>
      </c>
      <c r="BM199" s="5" t="s">
        <v>69</v>
      </c>
      <c r="BN199" s="5"/>
      <c r="BO199" s="5" t="b">
        <v>0</v>
      </c>
      <c r="CU199" s="60" t="str">
        <f t="shared" si="19"/>
        <v>.cstyle6cs6</v>
      </c>
    </row>
    <row r="200" spans="1:99">
      <c r="A200" s="37" t="str">
        <f t="shared" si="13"/>
        <v>cs-head (cshd)</v>
      </c>
      <c r="C200" s="7" t="s">
        <v>408</v>
      </c>
      <c r="D200" s="7" t="s">
        <v>671</v>
      </c>
      <c r="E200" s="37" t="str">
        <f t="shared" si="18"/>
        <v>cs-head (cshd)</v>
      </c>
      <c r="F200" s="5">
        <v>2</v>
      </c>
      <c r="G200" s="7" t="b">
        <v>0</v>
      </c>
      <c r="H200" s="5">
        <v>2</v>
      </c>
      <c r="I200" s="5" t="s">
        <v>2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3" t="s">
        <v>669</v>
      </c>
      <c r="BM200" s="5" t="s">
        <v>69</v>
      </c>
      <c r="BN200" s="5"/>
      <c r="BO200" s="5" t="b">
        <v>0</v>
      </c>
      <c r="CU200" s="60" t="str">
        <f t="shared" si="16"/>
        <v>.cs-headcshd</v>
      </c>
    </row>
    <row r="201" spans="1:99">
      <c r="A201" s="37" t="str">
        <f t="shared" si="13"/>
        <v>cs-speaker (csp)</v>
      </c>
      <c r="C201" s="7" t="s">
        <v>409</v>
      </c>
      <c r="D201" s="7" t="s">
        <v>410</v>
      </c>
      <c r="E201" s="37" t="str">
        <f t="shared" si="18"/>
        <v>cs-speaker (csp)</v>
      </c>
      <c r="F201" s="5">
        <v>2</v>
      </c>
      <c r="G201" s="7" t="b">
        <v>0</v>
      </c>
      <c r="H201" s="5">
        <v>2</v>
      </c>
      <c r="I201" s="5" t="s">
        <v>2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43" t="s">
        <v>669</v>
      </c>
      <c r="BM201" s="5" t="s">
        <v>69</v>
      </c>
      <c r="BN201" s="5"/>
      <c r="BO201" s="5" t="b">
        <v>0</v>
      </c>
      <c r="CU201" s="60" t="str">
        <f t="shared" si="16"/>
        <v>.cs-speakercsp</v>
      </c>
    </row>
    <row r="202" spans="1:99">
      <c r="A202" s="37" t="str">
        <f t="shared" si="13"/>
        <v>cs-text-message (ctm)</v>
      </c>
      <c r="C202" s="7" t="s">
        <v>411</v>
      </c>
      <c r="D202" s="7" t="s">
        <v>412</v>
      </c>
      <c r="E202" s="37" t="str">
        <f t="shared" si="18"/>
        <v>cs-text-message (ctm)</v>
      </c>
      <c r="F202" s="5">
        <v>2</v>
      </c>
      <c r="G202" s="7" t="b">
        <v>0</v>
      </c>
      <c r="H202" s="5">
        <v>2</v>
      </c>
      <c r="I202" s="5" t="s">
        <v>71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43" t="s">
        <v>669</v>
      </c>
      <c r="BM202" s="5" t="s">
        <v>69</v>
      </c>
      <c r="BN202" s="5"/>
      <c r="BO202" s="5" t="b">
        <v>0</v>
      </c>
      <c r="CU202" s="60" t="str">
        <f t="shared" si="16"/>
        <v>.cs-text-messagectm</v>
      </c>
    </row>
    <row r="203" spans="1:99">
      <c r="A203" s="37" t="str">
        <f t="shared" si="13"/>
        <v>cs-computer (ccom)</v>
      </c>
      <c r="C203" s="7" t="s">
        <v>557</v>
      </c>
      <c r="D203" s="7" t="s">
        <v>546</v>
      </c>
      <c r="E203" s="37" t="str">
        <f t="shared" si="18"/>
        <v>cs-computer (ccom)</v>
      </c>
      <c r="F203" s="5">
        <v>2</v>
      </c>
      <c r="G203" s="7" t="b">
        <v>0</v>
      </c>
      <c r="H203" s="5">
        <v>2</v>
      </c>
      <c r="I203" s="5" t="s">
        <v>71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X203" s="5"/>
      <c r="Y203" s="5"/>
      <c r="Z203" s="5"/>
      <c r="AA203" s="5"/>
      <c r="AB203" s="5"/>
      <c r="BI203" s="6" t="s">
        <v>65</v>
      </c>
      <c r="BJ203" s="5">
        <v>0</v>
      </c>
      <c r="BK203" s="5">
        <v>0</v>
      </c>
      <c r="BL203" s="43" t="s">
        <v>669</v>
      </c>
      <c r="BM203" s="5" t="s">
        <v>69</v>
      </c>
      <c r="BN203" s="5"/>
      <c r="BO203" s="5" t="b">
        <v>0</v>
      </c>
      <c r="CU203" s="60" t="str">
        <f t="shared" si="16"/>
        <v>.cs-computerccom</v>
      </c>
    </row>
    <row r="204" spans="1:99">
      <c r="A204" s="37" t="str">
        <f t="shared" si="13"/>
        <v>cs-design-note (cdn)</v>
      </c>
      <c r="C204" s="7" t="s">
        <v>413</v>
      </c>
      <c r="D204" s="7" t="s">
        <v>414</v>
      </c>
      <c r="E204" s="37" t="str">
        <f t="shared" si="18"/>
        <v>cs-design-note (cdn)</v>
      </c>
      <c r="F204" s="5">
        <v>2</v>
      </c>
      <c r="G204" s="7" t="b">
        <v>0</v>
      </c>
      <c r="H204" s="5">
        <v>2</v>
      </c>
      <c r="I204" s="5" t="s">
        <v>1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X204" s="5"/>
      <c r="Y204" s="5"/>
      <c r="Z204" s="5"/>
      <c r="AA204" s="5"/>
      <c r="AB204" s="5"/>
      <c r="BI204" s="6" t="s">
        <v>65</v>
      </c>
      <c r="BJ204" s="5">
        <v>0</v>
      </c>
      <c r="BK204" s="5">
        <v>0</v>
      </c>
      <c r="BL204" s="39" t="s">
        <v>70</v>
      </c>
      <c r="BM204" s="5" t="s">
        <v>69</v>
      </c>
      <c r="BN204" s="5"/>
      <c r="BO204" s="5" t="b">
        <v>0</v>
      </c>
      <c r="CU204" s="60" t="str">
        <f t="shared" si="16"/>
        <v>.cs-design-notecdn</v>
      </c>
    </row>
    <row r="205" spans="1:99">
      <c r="A205" s="37" t="str">
        <f t="shared" si="13"/>
        <v>cs-image-placement (cimg)</v>
      </c>
      <c r="C205" s="7" t="s">
        <v>415</v>
      </c>
      <c r="D205" s="7" t="s">
        <v>573</v>
      </c>
      <c r="E205" s="37" t="str">
        <f t="shared" si="18"/>
        <v>cs-image-placement (cimg)</v>
      </c>
      <c r="F205" s="5">
        <v>2</v>
      </c>
      <c r="G205" s="7" t="b">
        <v>0</v>
      </c>
      <c r="H205" s="5">
        <v>2</v>
      </c>
      <c r="I205" s="5" t="s">
        <v>1</v>
      </c>
      <c r="J205" s="7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X205" s="5"/>
      <c r="Y205" s="5"/>
      <c r="Z205" s="5"/>
      <c r="AA205" s="5"/>
      <c r="AB205" s="5"/>
      <c r="BI205" s="6" t="s">
        <v>65</v>
      </c>
      <c r="BJ205" s="5">
        <v>0</v>
      </c>
      <c r="BK205" s="5">
        <v>0</v>
      </c>
      <c r="BL205" s="39" t="s">
        <v>70</v>
      </c>
      <c r="BM205" s="5" t="s">
        <v>69</v>
      </c>
      <c r="BN205" s="5"/>
      <c r="BO205" s="5" t="b">
        <v>0</v>
      </c>
      <c r="CU205" s="60" t="str">
        <f t="shared" si="16"/>
        <v>.cs-image-placementcimg</v>
      </c>
    </row>
    <row r="206" spans="1:99">
      <c r="A206" s="37" t="str">
        <f t="shared" si="13"/>
        <v>symbols (sym)</v>
      </c>
      <c r="C206" s="7" t="s">
        <v>690</v>
      </c>
      <c r="D206" s="7" t="s">
        <v>691</v>
      </c>
      <c r="E206" s="37" t="str">
        <f t="shared" si="18"/>
        <v>symbols (sym)</v>
      </c>
      <c r="F206" s="5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41" t="s">
        <v>667</v>
      </c>
      <c r="BM206" s="5" t="s">
        <v>69</v>
      </c>
      <c r="BN206" s="5"/>
      <c r="BO206" s="5" t="b">
        <v>0</v>
      </c>
      <c r="CU206" s="60" t="str">
        <f>"."&amp;SUBSTITUTE(SUBSTITUTE(SUBSTITUTE(SUBSTITUTE(A206, "(",""),")","")," ",""),"#","")</f>
        <v>.symbolssym</v>
      </c>
    </row>
    <row r="207" spans="1:99">
      <c r="A207" s="37" t="str">
        <f>IF($D207="","",TRIM($C207)&amp;" "&amp;CHAR(40)&amp;TRIM($D207)&amp;CHAR(41))</f>
        <v>symbols-ital (symi)</v>
      </c>
      <c r="C207" s="7" t="s">
        <v>687</v>
      </c>
      <c r="D207" s="7" t="s">
        <v>688</v>
      </c>
      <c r="E207" s="37" t="str">
        <f>IF($D207="","",TRIM($C207)&amp;" "&amp;CHAR(40)&amp;TRIM($D207)&amp;CHAR(41))</f>
        <v>symbols-ital (symi)</v>
      </c>
      <c r="F207" s="5">
        <v>2</v>
      </c>
      <c r="G207" s="7" t="b">
        <v>0</v>
      </c>
      <c r="H207" s="5">
        <v>2</v>
      </c>
      <c r="I207" s="5" t="s">
        <v>66</v>
      </c>
      <c r="J207" s="7">
        <v>12</v>
      </c>
      <c r="K207" s="7" t="b">
        <v>1</v>
      </c>
      <c r="L207" s="7" t="b">
        <v>0</v>
      </c>
      <c r="M207" s="6" t="s">
        <v>65</v>
      </c>
      <c r="N207" s="5" t="b">
        <v>0</v>
      </c>
      <c r="O207" s="7" t="b">
        <v>0</v>
      </c>
      <c r="P207" s="7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BI207" s="6" t="s">
        <v>65</v>
      </c>
      <c r="BJ207" s="5">
        <v>0</v>
      </c>
      <c r="BK207" s="5">
        <v>0</v>
      </c>
      <c r="BL207" s="41" t="s">
        <v>667</v>
      </c>
      <c r="BM207" s="5" t="s">
        <v>69</v>
      </c>
      <c r="BO207" s="5" t="b">
        <v>0</v>
      </c>
      <c r="CU207" s="60" t="str">
        <f t="shared" si="16"/>
        <v>.symbols-italsymi</v>
      </c>
    </row>
    <row r="208" spans="1:99">
      <c r="A208" s="37" t="str">
        <f t="shared" si="13"/>
        <v>cross-reference (xref)</v>
      </c>
      <c r="C208" s="7" t="s">
        <v>416</v>
      </c>
      <c r="D208" s="7" t="s">
        <v>215</v>
      </c>
      <c r="E208" s="37" t="str">
        <f t="shared" si="18"/>
        <v>cross-reference (xref)</v>
      </c>
      <c r="F208" s="5">
        <v>2</v>
      </c>
      <c r="G208" s="7" t="b">
        <v>0</v>
      </c>
      <c r="H208" s="5">
        <v>2</v>
      </c>
      <c r="I208" s="5" t="s">
        <v>66</v>
      </c>
      <c r="J208" s="7">
        <v>12</v>
      </c>
      <c r="K208" s="5" t="b">
        <v>0</v>
      </c>
      <c r="L208" s="5" t="b">
        <v>0</v>
      </c>
      <c r="M208" s="6" t="s">
        <v>65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X208" s="5"/>
      <c r="Y208" s="5"/>
      <c r="Z208" s="5"/>
      <c r="AA208" s="5"/>
      <c r="AB208" s="5"/>
      <c r="BI208" s="6" t="s">
        <v>65</v>
      </c>
      <c r="BJ208" s="5">
        <v>0</v>
      </c>
      <c r="BK208" s="5">
        <v>0</v>
      </c>
      <c r="BL208" s="54" t="s">
        <v>666</v>
      </c>
      <c r="BM208" s="5" t="s">
        <v>69</v>
      </c>
      <c r="BN208" s="5"/>
      <c r="BO208" s="5" t="b">
        <v>0</v>
      </c>
      <c r="CU208" s="60" t="str">
        <f t="shared" si="16"/>
        <v>.cross-referencexref</v>
      </c>
    </row>
    <row r="209" spans="1:99">
      <c r="A209" s="37" t="str">
        <f>IF($D209="","",TRIM($C209)&amp;" "&amp;CHAR(40)&amp;TRIM($D209)&amp;CHAR(41))</f>
        <v>redacted-text (red)</v>
      </c>
      <c r="C209" s="7" t="s">
        <v>547</v>
      </c>
      <c r="D209" s="7" t="s">
        <v>548</v>
      </c>
      <c r="E209" s="37" t="s">
        <v>549</v>
      </c>
      <c r="F209" s="5">
        <v>2</v>
      </c>
      <c r="G209" s="7" t="b">
        <v>0</v>
      </c>
      <c r="H209" s="5">
        <v>2</v>
      </c>
      <c r="I209" s="5" t="s">
        <v>66</v>
      </c>
      <c r="J209" s="7">
        <v>12</v>
      </c>
      <c r="K209" s="5" t="b">
        <v>0</v>
      </c>
      <c r="L209" s="5" t="b">
        <v>1</v>
      </c>
      <c r="M209" s="6" t="s">
        <v>65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X209" s="5"/>
      <c r="Y209" s="5"/>
      <c r="Z209" s="5"/>
      <c r="AA209" s="5"/>
      <c r="AB209" s="5"/>
      <c r="BI209" s="6" t="s">
        <v>65</v>
      </c>
      <c r="BJ209" s="5">
        <v>0</v>
      </c>
      <c r="BK209" s="5">
        <v>0</v>
      </c>
      <c r="BL209" s="43" t="s">
        <v>669</v>
      </c>
      <c r="BM209" s="5" t="s">
        <v>69</v>
      </c>
      <c r="BN209" s="5"/>
      <c r="BO209" s="5" t="b">
        <v>0</v>
      </c>
      <c r="CU209" s="60" t="str">
        <f t="shared" si="16"/>
        <v>.redacted-textred</v>
      </c>
    </row>
    <row r="210" spans="1:99">
      <c r="A210" s="37" t="str">
        <f>IF($D210="","",TRIM($C210)&amp;" "&amp;CHAR(40)&amp;TRIM($D210)&amp;CHAR(41))</f>
        <v>keyphrase (kp)</v>
      </c>
      <c r="C210" s="7" t="s">
        <v>550</v>
      </c>
      <c r="D210" s="7" t="s">
        <v>551</v>
      </c>
      <c r="E210" s="37" t="s">
        <v>552</v>
      </c>
      <c r="F210" s="5">
        <v>2</v>
      </c>
      <c r="G210" s="7" t="b">
        <v>0</v>
      </c>
      <c r="H210" s="5">
        <v>2</v>
      </c>
      <c r="I210" s="5" t="s">
        <v>66</v>
      </c>
      <c r="J210" s="7">
        <v>12</v>
      </c>
      <c r="K210" s="5" t="b">
        <v>0</v>
      </c>
      <c r="L210" s="5" t="b">
        <v>0</v>
      </c>
      <c r="M210" s="6" t="s">
        <v>65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X210" s="5"/>
      <c r="Y210" s="5"/>
      <c r="Z210" s="5"/>
      <c r="AA210" s="5"/>
      <c r="AB210" s="5"/>
      <c r="BI210" s="6" t="s">
        <v>65</v>
      </c>
      <c r="BJ210" s="5">
        <v>0</v>
      </c>
      <c r="BK210" s="5">
        <v>0</v>
      </c>
      <c r="BL210" s="54" t="s">
        <v>666</v>
      </c>
      <c r="BM210" s="5" t="s">
        <v>69</v>
      </c>
      <c r="BN210" s="5"/>
      <c r="BO210" s="5" t="b">
        <v>0</v>
      </c>
      <c r="CU210" s="60" t="str">
        <f t="shared" si="16"/>
        <v>.keyphrasekp</v>
      </c>
    </row>
    <row r="211" spans="1:99">
      <c r="A211" s="37" t="str">
        <f t="shared" si="13"/>
        <v>cs-cleanup-exclude (cex)</v>
      </c>
      <c r="C211" s="7" t="s">
        <v>417</v>
      </c>
      <c r="D211" s="7" t="s">
        <v>418</v>
      </c>
      <c r="E211" s="37" t="str">
        <f t="shared" si="18"/>
        <v>cs-cleanup-exclude (cex)</v>
      </c>
      <c r="F211" s="5">
        <v>2</v>
      </c>
      <c r="G211" s="7" t="b">
        <v>0</v>
      </c>
      <c r="H211" s="5">
        <v>2</v>
      </c>
      <c r="I211" s="5" t="s">
        <v>66</v>
      </c>
      <c r="J211" s="7">
        <v>12</v>
      </c>
      <c r="K211" s="5" t="b">
        <v>0</v>
      </c>
      <c r="L211" s="5" t="b">
        <v>0</v>
      </c>
      <c r="M211" s="6" t="s">
        <v>65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X211" s="5"/>
      <c r="Y211" s="5"/>
      <c r="Z211" s="5"/>
      <c r="AA211" s="5"/>
      <c r="AB211" s="5"/>
      <c r="BI211" s="6" t="s">
        <v>65</v>
      </c>
      <c r="BJ211" s="5">
        <v>0</v>
      </c>
      <c r="BK211" s="5">
        <v>0</v>
      </c>
      <c r="BL211" s="41" t="s">
        <v>667</v>
      </c>
      <c r="BM211" s="5" t="s">
        <v>69</v>
      </c>
      <c r="BN211" s="5"/>
      <c r="BO211" s="5" t="b">
        <v>0</v>
      </c>
      <c r="CU211" s="57" t="str">
        <f t="shared" si="16"/>
        <v>.cs-cleanup-excludecex</v>
      </c>
    </row>
    <row r="212" spans="1:99">
      <c r="A212" s="37" t="str">
        <f t="shared" si="13"/>
        <v>bookmaker-keep-together (bkt)</v>
      </c>
      <c r="C212" s="7" t="s">
        <v>419</v>
      </c>
      <c r="D212" s="7" t="s">
        <v>214</v>
      </c>
      <c r="E212" s="37" t="str">
        <f t="shared" si="18"/>
        <v>bookmaker-keep-together (bkt)</v>
      </c>
      <c r="F212" s="5">
        <v>2</v>
      </c>
      <c r="G212" s="5" t="b">
        <v>0</v>
      </c>
      <c r="H212" s="5">
        <v>2</v>
      </c>
      <c r="I212" s="5" t="s">
        <v>66</v>
      </c>
      <c r="J212" s="7">
        <v>12</v>
      </c>
      <c r="K212" s="5" t="b">
        <v>0</v>
      </c>
      <c r="L212" s="5" t="b">
        <v>0</v>
      </c>
      <c r="M212" s="6" t="s">
        <v>65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L212" s="5"/>
      <c r="AM212" s="5"/>
      <c r="AN212" s="5"/>
      <c r="AO212" s="6"/>
      <c r="AP212" s="5"/>
      <c r="AQ212" s="5"/>
      <c r="AR212" s="5"/>
      <c r="AS212" s="6"/>
      <c r="AT212" s="5"/>
      <c r="AU212" s="5"/>
      <c r="AV212" s="5"/>
      <c r="AW212" s="6"/>
      <c r="AX212" s="5"/>
      <c r="AY212" s="5"/>
      <c r="AZ212" s="5"/>
      <c r="BA212" s="6"/>
      <c r="BB212" s="5"/>
      <c r="BC212" s="5"/>
      <c r="BD212" s="5"/>
      <c r="BE212" s="5"/>
      <c r="BF212" s="5"/>
      <c r="BG212" s="5"/>
      <c r="BH212" s="6"/>
      <c r="BI212" s="6" t="s">
        <v>65</v>
      </c>
      <c r="BJ212" s="5">
        <v>0</v>
      </c>
      <c r="BK212" s="5">
        <v>0</v>
      </c>
      <c r="BL212" s="42" t="s">
        <v>668</v>
      </c>
      <c r="BM212" s="5" t="s">
        <v>69</v>
      </c>
      <c r="BN212" s="5"/>
      <c r="BO212" s="5" t="b">
        <v>0</v>
      </c>
      <c r="CU212" s="57" t="str">
        <f t="shared" ref="CU212:CU214" si="20">"."&amp;SUBSTITUTE(SUBSTITUTE(SUBSTITUTE(SUBSTITUTE(A212, "(",""),")","")," ",""),"#","")</f>
        <v>.bookmaker-keep-togetherbkt</v>
      </c>
    </row>
    <row r="213" spans="1:99">
      <c r="A213" s="37" t="str">
        <f t="shared" si="13"/>
        <v>bookmaker-loosen (bln)</v>
      </c>
      <c r="C213" s="7" t="s">
        <v>422</v>
      </c>
      <c r="D213" s="7" t="s">
        <v>423</v>
      </c>
      <c r="E213" s="37" t="str">
        <f t="shared" si="18"/>
        <v>bookmaker-loosen (bln)</v>
      </c>
      <c r="F213" s="5">
        <v>2</v>
      </c>
      <c r="G213" s="5" t="b">
        <v>0</v>
      </c>
      <c r="H213" s="5">
        <v>2</v>
      </c>
      <c r="I213" s="5" t="s">
        <v>66</v>
      </c>
      <c r="J213" s="7">
        <v>12</v>
      </c>
      <c r="K213" s="5" t="b">
        <v>0</v>
      </c>
      <c r="L213" s="5" t="b">
        <v>0</v>
      </c>
      <c r="M213" s="6" t="s">
        <v>65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L213" s="5"/>
      <c r="AM213" s="5"/>
      <c r="AN213" s="5"/>
      <c r="AO213" s="6"/>
      <c r="AP213" s="5"/>
      <c r="AQ213" s="5"/>
      <c r="AR213" s="5"/>
      <c r="AS213" s="6"/>
      <c r="AT213" s="5"/>
      <c r="AU213" s="5"/>
      <c r="AV213" s="5"/>
      <c r="AW213" s="6"/>
      <c r="AX213" s="5"/>
      <c r="AY213" s="5"/>
      <c r="AZ213" s="5"/>
      <c r="BA213" s="6"/>
      <c r="BB213" s="5"/>
      <c r="BC213" s="5"/>
      <c r="BD213" s="5"/>
      <c r="BE213" s="5"/>
      <c r="BF213" s="5"/>
      <c r="BG213" s="5"/>
      <c r="BH213" s="6"/>
      <c r="BI213" s="6" t="s">
        <v>65</v>
      </c>
      <c r="BJ213" s="5">
        <v>0</v>
      </c>
      <c r="BK213" s="5">
        <v>0</v>
      </c>
      <c r="BL213" s="42" t="s">
        <v>668</v>
      </c>
      <c r="BM213" s="5" t="s">
        <v>69</v>
      </c>
      <c r="BN213" s="5"/>
      <c r="BO213" s="5" t="b">
        <v>0</v>
      </c>
      <c r="CU213" s="57" t="str">
        <f t="shared" si="20"/>
        <v>.bookmaker-loosenbln</v>
      </c>
    </row>
    <row r="214" spans="1:99">
      <c r="A214" s="37" t="str">
        <f t="shared" si="13"/>
        <v>bookmaker-tighten (bti)</v>
      </c>
      <c r="C214" s="26" t="s">
        <v>420</v>
      </c>
      <c r="D214" s="35" t="s">
        <v>421</v>
      </c>
      <c r="E214" s="37" t="str">
        <f t="shared" si="18"/>
        <v>bookmaker-tighten (bti)</v>
      </c>
      <c r="F214" s="5">
        <v>2</v>
      </c>
      <c r="G214" s="5" t="b">
        <v>0</v>
      </c>
      <c r="H214" s="5">
        <v>2</v>
      </c>
      <c r="I214" s="5" t="s">
        <v>66</v>
      </c>
      <c r="J214" s="7">
        <v>12</v>
      </c>
      <c r="K214" s="5" t="b">
        <v>0</v>
      </c>
      <c r="L214" s="5" t="b">
        <v>0</v>
      </c>
      <c r="M214" s="6" t="s">
        <v>65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L214" s="5"/>
      <c r="AM214" s="5"/>
      <c r="AN214" s="5"/>
      <c r="AO214" s="6"/>
      <c r="AP214" s="5"/>
      <c r="AQ214" s="5"/>
      <c r="AR214" s="5"/>
      <c r="AS214" s="6"/>
      <c r="AT214" s="5"/>
      <c r="AU214" s="5"/>
      <c r="AV214" s="5"/>
      <c r="AW214" s="6"/>
      <c r="AX214" s="5"/>
      <c r="AY214" s="5"/>
      <c r="AZ214" s="5"/>
      <c r="BA214" s="6"/>
      <c r="BB214" s="5"/>
      <c r="BC214" s="5"/>
      <c r="BD214" s="5"/>
      <c r="BE214" s="5"/>
      <c r="BF214" s="5"/>
      <c r="BG214" s="5"/>
      <c r="BH214" s="6"/>
      <c r="BI214" s="6" t="s">
        <v>65</v>
      </c>
      <c r="BJ214" s="5">
        <v>0</v>
      </c>
      <c r="BK214" s="5">
        <v>0</v>
      </c>
      <c r="BL214" s="42" t="s">
        <v>668</v>
      </c>
      <c r="BM214" s="5" t="s">
        <v>69</v>
      </c>
      <c r="BN214" s="5"/>
      <c r="BO214" s="5" t="b">
        <v>0</v>
      </c>
      <c r="CU214" s="60" t="str">
        <f t="shared" si="20"/>
        <v>.bookmaker-tightenbti</v>
      </c>
    </row>
    <row r="215" spans="1:99">
      <c r="A215" s="37" t="str">
        <f>IF($D215="","",TRIM($C215)&amp;" "&amp;CHAR(40)&amp;TRIM($D215)&amp;CHAR(41))</f>
        <v>cs-isbn (isbn)</v>
      </c>
      <c r="C215" s="7" t="s">
        <v>737</v>
      </c>
      <c r="D215" s="7" t="s">
        <v>736</v>
      </c>
      <c r="E215" s="37" t="str">
        <f>IF($D215="","",TRIM($C215)&amp;" "&amp;CHAR(40)&amp;TRIM($D215)&amp;CHAR(41))</f>
        <v>cs-isbn (isbn)</v>
      </c>
      <c r="F215" s="56">
        <v>2</v>
      </c>
      <c r="G215" s="7" t="b">
        <v>0</v>
      </c>
      <c r="H215" s="5">
        <v>2</v>
      </c>
      <c r="I215" s="5" t="s">
        <v>66</v>
      </c>
      <c r="J215" s="7">
        <v>12</v>
      </c>
      <c r="K215" s="5" t="b">
        <v>0</v>
      </c>
      <c r="L215" s="5" t="b">
        <v>0</v>
      </c>
      <c r="M215" s="6" t="s">
        <v>65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X215" s="5"/>
      <c r="Y215" s="5"/>
      <c r="Z215" s="5"/>
      <c r="AA215" s="5"/>
      <c r="AB215" s="5"/>
      <c r="BI215" s="6" t="s">
        <v>65</v>
      </c>
      <c r="BJ215" s="5">
        <v>0</v>
      </c>
      <c r="BK215" s="5">
        <v>0</v>
      </c>
      <c r="BL215" s="41" t="s">
        <v>667</v>
      </c>
      <c r="BM215" s="5" t="s">
        <v>69</v>
      </c>
      <c r="BN215" s="5"/>
      <c r="BO215" s="5" t="b">
        <v>0</v>
      </c>
      <c r="CU215" s="60" t="str">
        <f t="shared" ref="CU215:CU220" si="21">SUBSTITUTE(SUBSTITUTE(SUBSTITUTE(SUBSTITUTE(A215, "(",""),")","")," ",""),"#","")</f>
        <v>cs-isbnisbn</v>
      </c>
    </row>
    <row r="216" spans="1:99">
      <c r="A216" s="37" t="str">
        <f t="shared" ref="A216" si="22">IF($D216="","",TRIM($C216)&amp;" "&amp;CHAR(40)&amp;TRIM($D216)&amp;CHAR(41))</f>
        <v/>
      </c>
      <c r="CU216" s="60" t="str">
        <f t="shared" si="21"/>
        <v/>
      </c>
    </row>
    <row r="217" spans="1:99">
      <c r="A217" s="37" t="str">
        <f>IF($D217="","",TRIM($C217)&amp;" "&amp;CHAR(40)&amp;TRIM($D217)&amp;CHAR(41))</f>
        <v/>
      </c>
      <c r="CU217" s="60" t="str">
        <f t="shared" si="21"/>
        <v/>
      </c>
    </row>
    <row r="218" spans="1:99">
      <c r="A218" s="37" t="str">
        <f t="shared" ref="A218:A221" si="23">IF($D218="","",TRIM($C218)&amp;" "&amp;CHAR(40)&amp;TRIM($D218)&amp;CHAR(41))</f>
        <v/>
      </c>
      <c r="CU218" s="60" t="str">
        <f t="shared" si="21"/>
        <v/>
      </c>
    </row>
    <row r="219" spans="1:99">
      <c r="A219" s="37" t="str">
        <f t="shared" si="23"/>
        <v/>
      </c>
      <c r="CU219" s="60" t="str">
        <f t="shared" si="21"/>
        <v/>
      </c>
    </row>
    <row r="220" spans="1:99">
      <c r="A220" s="37" t="str">
        <f t="shared" si="23"/>
        <v/>
      </c>
      <c r="CU220" s="60" t="str">
        <f t="shared" si="21"/>
        <v/>
      </c>
    </row>
    <row r="221" spans="1:99">
      <c r="A221" s="37" t="str">
        <f t="shared" si="23"/>
        <v/>
      </c>
      <c r="CU221" s="60" t="str">
        <f t="shared" ref="CU221:CU227" si="24">"."&amp;SUBSTITUTE(SUBSTITUTE(SUBSTITUTE(SUBSTITUTE(A221, "(",""),")","")," ",""),"#","")</f>
        <v>.</v>
      </c>
    </row>
    <row r="222" spans="1:99">
      <c r="A222" s="37" t="str">
        <f t="shared" ref="A222:A228" si="25">IF($D222="","",TRIM($C222)&amp;" "&amp;CHAR(40)&amp;TRIM($D222)&amp;CHAR(41))</f>
        <v/>
      </c>
      <c r="CU222" s="60" t="str">
        <f t="shared" si="24"/>
        <v>.</v>
      </c>
    </row>
    <row r="223" spans="1:99">
      <c r="A223" s="37" t="str">
        <f t="shared" si="25"/>
        <v/>
      </c>
      <c r="CU223" s="60" t="str">
        <f t="shared" si="24"/>
        <v>.</v>
      </c>
    </row>
    <row r="224" spans="1:99">
      <c r="A224" s="37" t="str">
        <f t="shared" si="25"/>
        <v/>
      </c>
      <c r="CU224" s="60" t="str">
        <f t="shared" si="24"/>
        <v>.</v>
      </c>
    </row>
    <row r="225" spans="1:99">
      <c r="A225" s="37" t="str">
        <f t="shared" si="25"/>
        <v/>
      </c>
      <c r="CU225" s="60" t="str">
        <f t="shared" si="24"/>
        <v>.</v>
      </c>
    </row>
    <row r="226" spans="1:99">
      <c r="A226" s="37" t="str">
        <f t="shared" si="25"/>
        <v/>
      </c>
      <c r="CU226" s="60" t="str">
        <f t="shared" si="24"/>
        <v>.</v>
      </c>
    </row>
    <row r="227" spans="1:99">
      <c r="A227" s="37" t="str">
        <f t="shared" si="25"/>
        <v/>
      </c>
      <c r="CU227" s="60" t="str">
        <f t="shared" si="24"/>
        <v>.</v>
      </c>
    </row>
    <row r="228" spans="1:99">
      <c r="A228" s="37" t="str">
        <f t="shared" si="25"/>
        <v/>
      </c>
    </row>
    <row r="229" spans="1:99">
      <c r="A229" s="23"/>
    </row>
    <row r="230" spans="1:99">
      <c r="A230" s="23"/>
    </row>
    <row r="231" spans="1:99">
      <c r="A231" s="23"/>
    </row>
    <row r="232" spans="1:99">
      <c r="A232" s="23"/>
    </row>
    <row r="233" spans="1:99">
      <c r="A233" s="23"/>
    </row>
    <row r="234" spans="1:99">
      <c r="A234" s="23"/>
    </row>
    <row r="235" spans="1:99">
      <c r="A235" s="23"/>
    </row>
    <row r="236" spans="1:99">
      <c r="A236" s="23"/>
    </row>
    <row r="237" spans="1:99">
      <c r="A237" s="23"/>
    </row>
    <row r="238" spans="1:99">
      <c r="A238" s="23"/>
    </row>
    <row r="239" spans="1:99">
      <c r="A239" s="23"/>
    </row>
    <row r="240" spans="1:99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  <row r="250" spans="1:1">
      <c r="A250" s="23"/>
    </row>
    <row r="251" spans="1:1">
      <c r="A251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90:G195 G216:G1048576 G157 G71 G145:G155 G159:G188 G5:G52 G56 G73:G74 G58:G63 G65:G69 G200:G214 G77:G142">
    <cfRule type="containsText" dxfId="194" priority="264" operator="containsText" text="true">
      <formula>NOT(ISERROR(SEARCH("true",G1)))</formula>
    </cfRule>
  </conditionalFormatting>
  <conditionalFormatting sqref="D5:D10 D12:D16">
    <cfRule type="duplicateValues" dxfId="193" priority="260"/>
  </conditionalFormatting>
  <conditionalFormatting sqref="D11">
    <cfRule type="duplicateValues" dxfId="192" priority="259"/>
  </conditionalFormatting>
  <conditionalFormatting sqref="D17">
    <cfRule type="duplicateValues" dxfId="191" priority="258"/>
  </conditionalFormatting>
  <conditionalFormatting sqref="D23:D37 D18:D20">
    <cfRule type="duplicateValues" dxfId="190" priority="257"/>
  </conditionalFormatting>
  <conditionalFormatting sqref="D22">
    <cfRule type="duplicateValues" dxfId="189" priority="256"/>
  </conditionalFormatting>
  <conditionalFormatting sqref="AT163 AP157:AR157 AP155:AS155 AX155:AY155 R102:R142 AP163:AR163 BI4:CP4 A98:Y100 A94:I97 K94:Y97 A101:I126 K101:Y126 AT96 AT98:AT103 AT130:AT132 AT145 A127:Y142 AT149 AT147 K77:Y89 A77:I89 A157:Y157 AX157:AY157 AX159:AY161 AP159:AR160 CW28:CX28 CW5:CW20 CW22:CW27 CW29:CW37 BC160:CT161 AV162:CT162 AV182:CT182 BD155:CT159 BN190:CT193 AV189:CT189 A182:Y188 A190:Y195 AT38:CT54 G215:Y215 CR4:CT4 CV4:CW4 CV38:DB54 CV6:CV37 AB194:CT194 AB183:CT188 AB159:AM160 AB157:AM157 AB145:AR149 AB38:AR52 AB190:BH193 AB162:AT162 AB133:AT142 AB150:AT154 AB182:AT182 AB155:AM155 AB161:AR161 CV71:DB71 AB71:AR71 AT71:CT71 K71:Y71 A71:I71 AV145:CT154 A145:Y155 R167:R187 S167:V188 BI167:CT181 CV145:DB195 AT165:AT181 AV163:AY179 AR164:AR181 AU159:AU180 AZ164:AZ179 BD167:BH180 AB163:AN166 BC163:CT166 AP164:AQ180 BB167:BC181 AS163:AS180 BA163:BA180 AO163:AO180 A159:Y166 CU158:CU195 A167:AN181 A5:Y52 AB5:CT37 CU4:CU51 CY5:DB37 A56:Y56 AT56:CT56 AU63:CT63 A58:I63 AB56:AR56 CV56:DB56 A73:I74 K73:Y74 AB73:AR74 CV58:DB63 AB58:AR63 AT58:CT62 K58:Y63 K65:Y69 AB65:AR69 CV65:DB69 A65:I69 AU65:CT69 CU200:CU213 CV200:DB215 AB200:CT215 A200:Y214 AB195:BK195 BM195:CT195 BL195:BL199 AV93:CT142 AU93:AU103 A90:Y93 AT77:AT94 S77:V142 AU73:CT92 AB77:AR132 CV73:DB142">
    <cfRule type="containsText" dxfId="188" priority="254" operator="containsText" text="true">
      <formula>NOT(ISERROR(SEARCH("true",A4)))</formula>
    </cfRule>
  </conditionalFormatting>
  <conditionalFormatting sqref="BD181:BH181 AV180:AZ180 AV181 AX181 AZ181">
    <cfRule type="containsText" dxfId="187" priority="251" operator="containsText" text="true">
      <formula>NOT(ISERROR(SEARCH("true",AV180)))</formula>
    </cfRule>
  </conditionalFormatting>
  <conditionalFormatting sqref="AN155:AO155 AN157:AO157 AN159:AO160">
    <cfRule type="containsText" dxfId="186" priority="249" operator="containsText" text="true">
      <formula>NOT(ISERROR(SEARCH("true",AN155)))</formula>
    </cfRule>
  </conditionalFormatting>
  <conditionalFormatting sqref="AV157 AV155:AW155 AV159:AV161">
    <cfRule type="containsText" dxfId="185" priority="248" operator="containsText" text="true">
      <formula>NOT(ISERROR(SEARCH("true",AV155)))</formula>
    </cfRule>
  </conditionalFormatting>
  <conditionalFormatting sqref="AZ157 AZ155:BA155 AZ159:AZ161">
    <cfRule type="containsText" dxfId="184" priority="247" operator="containsText" text="true">
      <formula>NOT(ISERROR(SEARCH("true",AZ155)))</formula>
    </cfRule>
  </conditionalFormatting>
  <conditionalFormatting sqref="BB160:BB161">
    <cfRule type="containsText" dxfId="183" priority="246" operator="containsText" text="true">
      <formula>NOT(ISERROR(SEARCH("true",BB160)))</formula>
    </cfRule>
  </conditionalFormatting>
  <conditionalFormatting sqref="AU130:AU142 AU157 AU145:AU155">
    <cfRule type="containsText" dxfId="182" priority="239" operator="containsText" text="true">
      <formula>NOT(ISERROR(SEARCH("true",AU130)))</formula>
    </cfRule>
  </conditionalFormatting>
  <conditionalFormatting sqref="AT63 AT65:AT69">
    <cfRule type="containsText" dxfId="181" priority="238" operator="containsText" text="true">
      <formula>NOT(ISERROR(SEARCH("true",AT63)))</formula>
    </cfRule>
  </conditionalFormatting>
  <conditionalFormatting sqref="AT95">
    <cfRule type="containsText" dxfId="180" priority="236" operator="containsText" text="true">
      <formula>NOT(ISERROR(SEARCH("true",AT95)))</formula>
    </cfRule>
  </conditionalFormatting>
  <conditionalFormatting sqref="AT97">
    <cfRule type="containsText" dxfId="179" priority="235" operator="containsText" text="true">
      <formula>NOT(ISERROR(SEARCH("true",AT97)))</formula>
    </cfRule>
  </conditionalFormatting>
  <conditionalFormatting sqref="AT146">
    <cfRule type="containsText" dxfId="178" priority="234" operator="containsText" text="true">
      <formula>NOT(ISERROR(SEARCH("true",AT146)))</formula>
    </cfRule>
  </conditionalFormatting>
  <conditionalFormatting sqref="AT148">
    <cfRule type="containsText" dxfId="177" priority="233" operator="containsText" text="true">
      <formula>NOT(ISERROR(SEARCH("true",AT148)))</formula>
    </cfRule>
  </conditionalFormatting>
  <conditionalFormatting sqref="AT164">
    <cfRule type="containsText" dxfId="176" priority="232" operator="containsText" text="true">
      <formula>NOT(ISERROR(SEARCH("true",AT164)))</formula>
    </cfRule>
  </conditionalFormatting>
  <conditionalFormatting sqref="AZ163">
    <cfRule type="containsText" dxfId="175" priority="217" operator="containsText" text="true">
      <formula>NOT(ISERROR(SEARCH("true",AZ163)))</formula>
    </cfRule>
  </conditionalFormatting>
  <conditionalFormatting sqref="AT155">
    <cfRule type="containsText" dxfId="174" priority="214" operator="containsText" text="true">
      <formula>NOT(ISERROR(SEARCH("true",AT155)))</formula>
    </cfRule>
  </conditionalFormatting>
  <conditionalFormatting sqref="AT157">
    <cfRule type="containsText" dxfId="173" priority="213" operator="containsText" text="true">
      <formula>NOT(ISERROR(SEARCH("true",AT157)))</formula>
    </cfRule>
  </conditionalFormatting>
  <conditionalFormatting sqref="AT159">
    <cfRule type="containsText" dxfId="172" priority="212" operator="containsText" text="true">
      <formula>NOT(ISERROR(SEARCH("true",AT159)))</formula>
    </cfRule>
  </conditionalFormatting>
  <conditionalFormatting sqref="AT160">
    <cfRule type="containsText" dxfId="171" priority="211" operator="containsText" text="true">
      <formula>NOT(ISERROR(SEARCH("true",AT160)))</formula>
    </cfRule>
  </conditionalFormatting>
  <conditionalFormatting sqref="AT161">
    <cfRule type="containsText" dxfId="170" priority="210" operator="containsText" text="true">
      <formula>NOT(ISERROR(SEARCH("true",AT161)))</formula>
    </cfRule>
  </conditionalFormatting>
  <conditionalFormatting sqref="AP181">
    <cfRule type="containsText" dxfId="169" priority="208" operator="containsText" text="true">
      <formula>NOT(ISERROR(SEARCH("true",AP181)))</formula>
    </cfRule>
  </conditionalFormatting>
  <conditionalFormatting sqref="AO181">
    <cfRule type="containsText" dxfId="168" priority="206" operator="containsText" text="true">
      <formula>NOT(ISERROR(SEARCH("true",AO181)))</formula>
    </cfRule>
  </conditionalFormatting>
  <conditionalFormatting sqref="AQ181">
    <cfRule type="containsText" dxfId="167" priority="195" operator="containsText" text="true">
      <formula>NOT(ISERROR(SEARCH("true",AQ181)))</formula>
    </cfRule>
  </conditionalFormatting>
  <conditionalFormatting sqref="AU181">
    <cfRule type="containsText" dxfId="166" priority="194" operator="containsText" text="true">
      <formula>NOT(ISERROR(SEARCH("true",AU181)))</formula>
    </cfRule>
  </conditionalFormatting>
  <conditionalFormatting sqref="AY181">
    <cfRule type="containsText" dxfId="165" priority="193" operator="containsText" text="true">
      <formula>NOT(ISERROR(SEARCH("true",AY181)))</formula>
    </cfRule>
  </conditionalFormatting>
  <conditionalFormatting sqref="BB163 BB165:BB166">
    <cfRule type="containsText" dxfId="164" priority="192" operator="containsText" text="true">
      <formula>NOT(ISERROR(SEARCH("true",BB163)))</formula>
    </cfRule>
  </conditionalFormatting>
  <conditionalFormatting sqref="BB164">
    <cfRule type="containsText" dxfId="163" priority="190" operator="containsText" text="true">
      <formula>NOT(ISERROR(SEARCH("true",BB164)))</formula>
    </cfRule>
  </conditionalFormatting>
  <conditionalFormatting sqref="BA181">
    <cfRule type="containsText" dxfId="162" priority="186" operator="containsText" text="true">
      <formula>NOT(ISERROR(SEARCH("true",BA181)))</formula>
    </cfRule>
  </conditionalFormatting>
  <conditionalFormatting sqref="AW181">
    <cfRule type="containsText" dxfId="161" priority="180" operator="containsText" text="true">
      <formula>NOT(ISERROR(SEARCH("true",AW181)))</formula>
    </cfRule>
  </conditionalFormatting>
  <conditionalFormatting sqref="AS181">
    <cfRule type="containsText" dxfId="160" priority="179" operator="containsText" text="true">
      <formula>NOT(ISERROR(SEARCH("true",AS181)))</formula>
    </cfRule>
  </conditionalFormatting>
  <conditionalFormatting sqref="AT104:AT129">
    <cfRule type="containsText" dxfId="159" priority="175" operator="containsText" text="true">
      <formula>NOT(ISERROR(SEARCH("true",AT104)))</formula>
    </cfRule>
  </conditionalFormatting>
  <conditionalFormatting sqref="AU104:AU129">
    <cfRule type="containsText" dxfId="158" priority="174" operator="containsText" text="true">
      <formula>NOT(ISERROR(SEARCH("true",AU104)))</formula>
    </cfRule>
  </conditionalFormatting>
  <conditionalFormatting sqref="BC155 BC157 BC159">
    <cfRule type="containsText" dxfId="157" priority="173" operator="containsText" text="true">
      <formula>NOT(ISERROR(SEARCH("true",BC155)))</formula>
    </cfRule>
  </conditionalFormatting>
  <conditionalFormatting sqref="BB155">
    <cfRule type="containsText" dxfId="156" priority="172" operator="containsText" text="true">
      <formula>NOT(ISERROR(SEARCH("true",BB155)))</formula>
    </cfRule>
  </conditionalFormatting>
  <conditionalFormatting sqref="BB157">
    <cfRule type="containsText" dxfId="155" priority="171" operator="containsText" text="true">
      <formula>NOT(ISERROR(SEARCH("true",BB157)))</formula>
    </cfRule>
  </conditionalFormatting>
  <conditionalFormatting sqref="BB159">
    <cfRule type="containsText" dxfId="154" priority="170" operator="containsText" text="true">
      <formula>NOT(ISERROR(SEARCH("true",BB159)))</formula>
    </cfRule>
  </conditionalFormatting>
  <conditionalFormatting sqref="G4">
    <cfRule type="containsText" dxfId="153" priority="169" operator="containsText" text="true">
      <formula>NOT(ISERROR(SEARCH("true",G4)))</formula>
    </cfRule>
  </conditionalFormatting>
  <conditionalFormatting sqref="D4">
    <cfRule type="duplicateValues" dxfId="152" priority="168"/>
  </conditionalFormatting>
  <conditionalFormatting sqref="AV4:BG4 A4:D4 N4:Y4 AM4:AT4 F4:L4 CY4:DB4 AB4:AK4">
    <cfRule type="containsText" dxfId="151" priority="167" operator="containsText" text="true">
      <formula>NOT(ISERROR(SEARCH("true",A4)))</formula>
    </cfRule>
  </conditionalFormatting>
  <conditionalFormatting sqref="AU4">
    <cfRule type="containsText" dxfId="150" priority="166" operator="containsText" text="true">
      <formula>NOT(ISERROR(SEARCH("true",AU4)))</formula>
    </cfRule>
  </conditionalFormatting>
  <conditionalFormatting sqref="AL4">
    <cfRule type="containsText" dxfId="149" priority="164" operator="containsText" text="true">
      <formula>NOT(ISERROR(SEARCH("true",AL4)))</formula>
    </cfRule>
  </conditionalFormatting>
  <conditionalFormatting sqref="BH4">
    <cfRule type="containsText" dxfId="148" priority="163" operator="containsText" text="true">
      <formula>NOT(ISERROR(SEARCH("true",BH4)))</formula>
    </cfRule>
  </conditionalFormatting>
  <conditionalFormatting sqref="CQ4">
    <cfRule type="containsText" dxfId="147" priority="162" operator="containsText" text="true">
      <formula>NOT(ISERROR(SEARCH("true",CQ4)))</formula>
    </cfRule>
  </conditionalFormatting>
  <conditionalFormatting sqref="E4">
    <cfRule type="containsText" dxfId="146" priority="161" operator="containsText" text="true">
      <formula>NOT(ISERROR(SEARCH("true",E4)))</formula>
    </cfRule>
  </conditionalFormatting>
  <conditionalFormatting sqref="M4">
    <cfRule type="containsText" dxfId="145" priority="160" operator="containsText" text="true">
      <formula>NOT(ISERROR(SEARCH("true",M4)))</formula>
    </cfRule>
  </conditionalFormatting>
  <conditionalFormatting sqref="G189">
    <cfRule type="containsText" dxfId="144" priority="159" operator="containsText" text="true">
      <formula>NOT(ISERROR(SEARCH("true",G189)))</formula>
    </cfRule>
  </conditionalFormatting>
  <conditionalFormatting sqref="A189:E189 G189:Y189 AB189:AT189">
    <cfRule type="containsText" dxfId="143" priority="158" operator="containsText" text="true">
      <formula>NOT(ISERROR(SEARCH("true",A189)))</formula>
    </cfRule>
  </conditionalFormatting>
  <conditionalFormatting sqref="BI190:BM192">
    <cfRule type="containsText" dxfId="142" priority="153" operator="containsText" text="true">
      <formula>NOT(ISERROR(SEARCH("true",BI190)))</formula>
    </cfRule>
  </conditionalFormatting>
  <conditionalFormatting sqref="BI193:BM193">
    <cfRule type="containsText" dxfId="141" priority="152" operator="containsText" text="true">
      <formula>NOT(ISERROR(SEARCH("true",BI193)))</formula>
    </cfRule>
  </conditionalFormatting>
  <conditionalFormatting sqref="G215">
    <cfRule type="containsText" dxfId="140" priority="150" operator="containsText" text="true">
      <formula>NOT(ISERROR(SEARCH("true",G215)))</formula>
    </cfRule>
  </conditionalFormatting>
  <conditionalFormatting sqref="A215:E215">
    <cfRule type="containsText" dxfId="139" priority="149" operator="containsText" text="true">
      <formula>NOT(ISERROR(SEARCH("true",A215)))</formula>
    </cfRule>
  </conditionalFormatting>
  <conditionalFormatting sqref="F189">
    <cfRule type="containsText" dxfId="138" priority="148" operator="containsText" text="true">
      <formula>NOT(ISERROR(SEARCH("true",F189)))</formula>
    </cfRule>
  </conditionalFormatting>
  <conditionalFormatting sqref="F215">
    <cfRule type="containsText" dxfId="137" priority="147" operator="containsText" text="true">
      <formula>NOT(ISERROR(SEARCH("true",F215)))</formula>
    </cfRule>
  </conditionalFormatting>
  <conditionalFormatting sqref="D216:D1048576 D1:D3">
    <cfRule type="duplicateValues" dxfId="136" priority="271"/>
  </conditionalFormatting>
  <conditionalFormatting sqref="J77:J89 J71 J58:J63 J73:J74 J65:J69">
    <cfRule type="containsText" dxfId="135" priority="146" operator="containsText" text="true">
      <formula>NOT(ISERROR(SEARCH("true",J58)))</formula>
    </cfRule>
  </conditionalFormatting>
  <conditionalFormatting sqref="J94:J97">
    <cfRule type="containsText" dxfId="134" priority="145" operator="containsText" text="true">
      <formula>NOT(ISERROR(SEARCH("true",J94)))</formula>
    </cfRule>
  </conditionalFormatting>
  <conditionalFormatting sqref="J101:J126">
    <cfRule type="containsText" dxfId="133" priority="144" operator="containsText" text="true">
      <formula>NOT(ISERROR(SEARCH("true",J101)))</formula>
    </cfRule>
  </conditionalFormatting>
  <conditionalFormatting sqref="AS38:AS52 AS71 AS56 AS73:AS74 AS58:AS63 AS65:AS69 AS77:AS132">
    <cfRule type="containsText" dxfId="132" priority="143" operator="containsText" text="true">
      <formula>NOT(ISERROR(SEARCH("true",AS38)))</formula>
    </cfRule>
  </conditionalFormatting>
  <conditionalFormatting sqref="AS145:AS149">
    <cfRule type="containsText" dxfId="131" priority="142" operator="containsText" text="true">
      <formula>NOT(ISERROR(SEARCH("true",AS145)))</formula>
    </cfRule>
  </conditionalFormatting>
  <conditionalFormatting sqref="G75">
    <cfRule type="containsText" dxfId="130" priority="141" operator="containsText" text="true">
      <formula>NOT(ISERROR(SEARCH("true",G75)))</formula>
    </cfRule>
  </conditionalFormatting>
  <conditionalFormatting sqref="A75:I75 K75:Y75 AB75:AR75">
    <cfRule type="containsText" dxfId="129" priority="140" operator="containsText" text="true">
      <formula>NOT(ISERROR(SEARCH("true",A75)))</formula>
    </cfRule>
  </conditionalFormatting>
  <conditionalFormatting sqref="J75">
    <cfRule type="containsText" dxfId="128" priority="138" operator="containsText" text="true">
      <formula>NOT(ISERROR(SEARCH("true",J75)))</formula>
    </cfRule>
  </conditionalFormatting>
  <conditionalFormatting sqref="AS75">
    <cfRule type="containsText" dxfId="127" priority="137" operator="containsText" text="true">
      <formula>NOT(ISERROR(SEARCH("true",AS75)))</formula>
    </cfRule>
  </conditionalFormatting>
  <conditionalFormatting sqref="G76">
    <cfRule type="containsText" dxfId="126" priority="136" operator="containsText" text="true">
      <formula>NOT(ISERROR(SEARCH("true",G76)))</formula>
    </cfRule>
  </conditionalFormatting>
  <conditionalFormatting sqref="A76:I76 K76:Y76 AB76:AR76">
    <cfRule type="containsText" dxfId="125" priority="135" operator="containsText" text="true">
      <formula>NOT(ISERROR(SEARCH("true",A76)))</formula>
    </cfRule>
  </conditionalFormatting>
  <conditionalFormatting sqref="J76">
    <cfRule type="containsText" dxfId="124" priority="133" operator="containsText" text="true">
      <formula>NOT(ISERROR(SEARCH("true",J76)))</formula>
    </cfRule>
  </conditionalFormatting>
  <conditionalFormatting sqref="AS76">
    <cfRule type="containsText" dxfId="123" priority="132" operator="containsText" text="true">
      <formula>NOT(ISERROR(SEARCH("true",AS76)))</formula>
    </cfRule>
  </conditionalFormatting>
  <conditionalFormatting sqref="G53">
    <cfRule type="containsText" dxfId="122" priority="131" operator="containsText" text="true">
      <formula>NOT(ISERROR(SEARCH("true",G53)))</formula>
    </cfRule>
  </conditionalFormatting>
  <conditionalFormatting sqref="A53:Y53 AB53:AR53">
    <cfRule type="containsText" dxfId="121" priority="130" operator="containsText" text="true">
      <formula>NOT(ISERROR(SEARCH("true",A53)))</formula>
    </cfRule>
  </conditionalFormatting>
  <conditionalFormatting sqref="AS53">
    <cfRule type="containsText" dxfId="120" priority="129" operator="containsText" text="true">
      <formula>NOT(ISERROR(SEARCH("true",AS53)))</formula>
    </cfRule>
  </conditionalFormatting>
  <conditionalFormatting sqref="G54">
    <cfRule type="containsText" dxfId="119" priority="128" operator="containsText" text="true">
      <formula>NOT(ISERROR(SEARCH("true",G54)))</formula>
    </cfRule>
  </conditionalFormatting>
  <conditionalFormatting sqref="A54:H54 J54:Y54 AB54:AR54">
    <cfRule type="containsText" dxfId="118" priority="127" operator="containsText" text="true">
      <formula>NOT(ISERROR(SEARCH("true",A54)))</formula>
    </cfRule>
  </conditionalFormatting>
  <conditionalFormatting sqref="AS54">
    <cfRule type="containsText" dxfId="117" priority="126" operator="containsText" text="true">
      <formula>NOT(ISERROR(SEARCH("true",AS54)))</formula>
    </cfRule>
  </conditionalFormatting>
  <conditionalFormatting sqref="G156">
    <cfRule type="containsText" dxfId="116" priority="125" operator="containsText" text="true">
      <formula>NOT(ISERROR(SEARCH("true",G156)))</formula>
    </cfRule>
  </conditionalFormatting>
  <conditionalFormatting sqref="AP156:AS156 AX156:AY156 A156:Y156 AB156:AM156">
    <cfRule type="containsText" dxfId="115" priority="124" operator="containsText" text="true">
      <formula>NOT(ISERROR(SEARCH("true",A156)))</formula>
    </cfRule>
  </conditionalFormatting>
  <conditionalFormatting sqref="AN156:AO156">
    <cfRule type="containsText" dxfId="114" priority="123" operator="containsText" text="true">
      <formula>NOT(ISERROR(SEARCH("true",AN156)))</formula>
    </cfRule>
  </conditionalFormatting>
  <conditionalFormatting sqref="AV156:AW156">
    <cfRule type="containsText" dxfId="113" priority="122" operator="containsText" text="true">
      <formula>NOT(ISERROR(SEARCH("true",AV156)))</formula>
    </cfRule>
  </conditionalFormatting>
  <conditionalFormatting sqref="AZ156:BA156">
    <cfRule type="containsText" dxfId="112" priority="121" operator="containsText" text="true">
      <formula>NOT(ISERROR(SEARCH("true",AZ156)))</formula>
    </cfRule>
  </conditionalFormatting>
  <conditionalFormatting sqref="AU156">
    <cfRule type="containsText" dxfId="111" priority="120" operator="containsText" text="true">
      <formula>NOT(ISERROR(SEARCH("true",AU156)))</formula>
    </cfRule>
  </conditionalFormatting>
  <conditionalFormatting sqref="AT156">
    <cfRule type="containsText" dxfId="110" priority="119" operator="containsText" text="true">
      <formula>NOT(ISERROR(SEARCH("true",AT156)))</formula>
    </cfRule>
  </conditionalFormatting>
  <conditionalFormatting sqref="BC156">
    <cfRule type="containsText" dxfId="109" priority="118" operator="containsText" text="true">
      <formula>NOT(ISERROR(SEARCH("true",BC156)))</formula>
    </cfRule>
  </conditionalFormatting>
  <conditionalFormatting sqref="BB156">
    <cfRule type="containsText" dxfId="108" priority="117" operator="containsText" text="true">
      <formula>NOT(ISERROR(SEARCH("true",BB156)))</formula>
    </cfRule>
  </conditionalFormatting>
  <conditionalFormatting sqref="G158">
    <cfRule type="containsText" dxfId="107" priority="116" operator="containsText" text="true">
      <formula>NOT(ISERROR(SEARCH("true",G158)))</formula>
    </cfRule>
  </conditionalFormatting>
  <conditionalFormatting sqref="AP158:AR158 A158:Y158 AX158:AY158 AB158:AM158">
    <cfRule type="containsText" dxfId="106" priority="115" operator="containsText" text="true">
      <formula>NOT(ISERROR(SEARCH("true",A158)))</formula>
    </cfRule>
  </conditionalFormatting>
  <conditionalFormatting sqref="AN158:AO158">
    <cfRule type="containsText" dxfId="105" priority="114" operator="containsText" text="true">
      <formula>NOT(ISERROR(SEARCH("true",AN158)))</formula>
    </cfRule>
  </conditionalFormatting>
  <conditionalFormatting sqref="AV158">
    <cfRule type="containsText" dxfId="104" priority="113" operator="containsText" text="true">
      <formula>NOT(ISERROR(SEARCH("true",AV158)))</formula>
    </cfRule>
  </conditionalFormatting>
  <conditionalFormatting sqref="AZ158">
    <cfRule type="containsText" dxfId="103" priority="112" operator="containsText" text="true">
      <formula>NOT(ISERROR(SEARCH("true",AZ158)))</formula>
    </cfRule>
  </conditionalFormatting>
  <conditionalFormatting sqref="AU158">
    <cfRule type="containsText" dxfId="102" priority="111" operator="containsText" text="true">
      <formula>NOT(ISERROR(SEARCH("true",AU158)))</formula>
    </cfRule>
  </conditionalFormatting>
  <conditionalFormatting sqref="AT158">
    <cfRule type="containsText" dxfId="101" priority="110" operator="containsText" text="true">
      <formula>NOT(ISERROR(SEARCH("true",AT158)))</formula>
    </cfRule>
  </conditionalFormatting>
  <conditionalFormatting sqref="BC158">
    <cfRule type="containsText" dxfId="100" priority="109" operator="containsText" text="true">
      <formula>NOT(ISERROR(SEARCH("true",BC158)))</formula>
    </cfRule>
  </conditionalFormatting>
  <conditionalFormatting sqref="BB158">
    <cfRule type="containsText" dxfId="99" priority="108" operator="containsText" text="true">
      <formula>NOT(ISERROR(SEARCH("true",BB158)))</formula>
    </cfRule>
  </conditionalFormatting>
  <conditionalFormatting sqref="AT73 AT75:AT76">
    <cfRule type="containsText" dxfId="98" priority="107" operator="containsText" text="true">
      <formula>NOT(ISERROR(SEARCH("true",AT73)))</formula>
    </cfRule>
  </conditionalFormatting>
  <conditionalFormatting sqref="AT74">
    <cfRule type="containsText" dxfId="97" priority="106" operator="containsText" text="true">
      <formula>NOT(ISERROR(SEARCH("true",AT74)))</formula>
    </cfRule>
  </conditionalFormatting>
  <conditionalFormatting sqref="CW21">
    <cfRule type="containsText" dxfId="96" priority="105" operator="containsText" text="true">
      <formula>NOT(ISERROR(SEARCH("true",CW21)))</formula>
    </cfRule>
  </conditionalFormatting>
  <conditionalFormatting sqref="CU54 CU156 CU71 CU145:CU154 CU56 CU73 CU58:CU63 CU65:CU69 CU76:CU142">
    <cfRule type="containsText" dxfId="95" priority="104" operator="containsText" text="true">
      <formula>NOT(ISERROR(SEARCH("true",CU54)))</formula>
    </cfRule>
  </conditionalFormatting>
  <conditionalFormatting sqref="CU214">
    <cfRule type="containsText" dxfId="94" priority="103" operator="containsText" text="true">
      <formula>NOT(ISERROR(SEARCH("true",CU214)))</formula>
    </cfRule>
  </conditionalFormatting>
  <conditionalFormatting sqref="CU74">
    <cfRule type="containsText" dxfId="93" priority="102" operator="containsText" text="true">
      <formula>NOT(ISERROR(SEARCH("true",CU74)))</formula>
    </cfRule>
  </conditionalFormatting>
  <conditionalFormatting sqref="CU75">
    <cfRule type="containsText" dxfId="92" priority="101" operator="containsText" text="true">
      <formula>NOT(ISERROR(SEARCH("true",CU75)))</formula>
    </cfRule>
  </conditionalFormatting>
  <conditionalFormatting sqref="CU52">
    <cfRule type="containsText" dxfId="91" priority="100" operator="containsText" text="true">
      <formula>NOT(ISERROR(SEARCH("true",CU52)))</formula>
    </cfRule>
  </conditionalFormatting>
  <conditionalFormatting sqref="CU53">
    <cfRule type="containsText" dxfId="90" priority="99" operator="containsText" text="true">
      <formula>NOT(ISERROR(SEARCH("true",CU53)))</formula>
    </cfRule>
  </conditionalFormatting>
  <conditionalFormatting sqref="CU155">
    <cfRule type="containsText" dxfId="89" priority="98" operator="containsText" text="true">
      <formula>NOT(ISERROR(SEARCH("true",CU155)))</formula>
    </cfRule>
  </conditionalFormatting>
  <conditionalFormatting sqref="CU157">
    <cfRule type="containsText" dxfId="88" priority="97" operator="containsText" text="true">
      <formula>NOT(ISERROR(SEARCH("true",CU157)))</formula>
    </cfRule>
  </conditionalFormatting>
  <conditionalFormatting sqref="D21">
    <cfRule type="duplicateValues" dxfId="87" priority="275"/>
  </conditionalFormatting>
  <conditionalFormatting sqref="I54">
    <cfRule type="containsText" dxfId="86" priority="96" operator="containsText" text="true">
      <formula>NOT(ISERROR(SEARCH("true",I54)))</formula>
    </cfRule>
  </conditionalFormatting>
  <conditionalFormatting sqref="Z157 Z159:Z166 Z182:Z188 Z190:Z195 Z71 Z145:Z155 Z5:Z52 Z56 Z73:Z74 Z58:Z63 Z65:Z69 Z200:Z215 Z77:Z142">
    <cfRule type="containsText" dxfId="85" priority="95" operator="containsText" text="true">
      <formula>NOT(ISERROR(SEARCH("true",Z5)))</formula>
    </cfRule>
  </conditionalFormatting>
  <conditionalFormatting sqref="Z4">
    <cfRule type="containsText" dxfId="84" priority="93" operator="containsText" text="true">
      <formula>NOT(ISERROR(SEARCH("true",Z4)))</formula>
    </cfRule>
  </conditionalFormatting>
  <conditionalFormatting sqref="Z189">
    <cfRule type="containsText" dxfId="83" priority="92" operator="containsText" text="true">
      <formula>NOT(ISERROR(SEARCH("true",Z189)))</formula>
    </cfRule>
  </conditionalFormatting>
  <conditionalFormatting sqref="Z75">
    <cfRule type="containsText" dxfId="82" priority="91" operator="containsText" text="true">
      <formula>NOT(ISERROR(SEARCH("true",Z75)))</formula>
    </cfRule>
  </conditionalFormatting>
  <conditionalFormatting sqref="Z76">
    <cfRule type="containsText" dxfId="81" priority="90" operator="containsText" text="true">
      <formula>NOT(ISERROR(SEARCH("true",Z76)))</formula>
    </cfRule>
  </conditionalFormatting>
  <conditionalFormatting sqref="Z53">
    <cfRule type="containsText" dxfId="80" priority="89" operator="containsText" text="true">
      <formula>NOT(ISERROR(SEARCH("true",Z53)))</formula>
    </cfRule>
  </conditionalFormatting>
  <conditionalFormatting sqref="Z54">
    <cfRule type="containsText" dxfId="79" priority="88" operator="containsText" text="true">
      <formula>NOT(ISERROR(SEARCH("true",Z54)))</formula>
    </cfRule>
  </conditionalFormatting>
  <conditionalFormatting sqref="Z156">
    <cfRule type="containsText" dxfId="78" priority="87" operator="containsText" text="true">
      <formula>NOT(ISERROR(SEARCH("true",Z156)))</formula>
    </cfRule>
  </conditionalFormatting>
  <conditionalFormatting sqref="Z158">
    <cfRule type="containsText" dxfId="77" priority="86" operator="containsText" text="true">
      <formula>NOT(ISERROR(SEARCH("true",Z158)))</formula>
    </cfRule>
  </conditionalFormatting>
  <conditionalFormatting sqref="AA157 AA159:AA166 AA182:AA188 AA190:AA195 AA71 AA145:AA155 AA5:AA52 AA56 AA73:AA74 AA58:AA63 AA65:AA69 AA200:AA215 AA77:AA142">
    <cfRule type="containsText" dxfId="76" priority="85" operator="containsText" text="true">
      <formula>NOT(ISERROR(SEARCH("true",AA5)))</formula>
    </cfRule>
  </conditionalFormatting>
  <conditionalFormatting sqref="AA4">
    <cfRule type="containsText" dxfId="75" priority="83" operator="containsText" text="true">
      <formula>NOT(ISERROR(SEARCH("true",AA4)))</formula>
    </cfRule>
  </conditionalFormatting>
  <conditionalFormatting sqref="AA189">
    <cfRule type="containsText" dxfId="74" priority="82" operator="containsText" text="true">
      <formula>NOT(ISERROR(SEARCH("true",AA189)))</formula>
    </cfRule>
  </conditionalFormatting>
  <conditionalFormatting sqref="AA75">
    <cfRule type="containsText" dxfId="73" priority="81" operator="containsText" text="true">
      <formula>NOT(ISERROR(SEARCH("true",AA75)))</formula>
    </cfRule>
  </conditionalFormatting>
  <conditionalFormatting sqref="AA76">
    <cfRule type="containsText" dxfId="72" priority="80" operator="containsText" text="true">
      <formula>NOT(ISERROR(SEARCH("true",AA76)))</formula>
    </cfRule>
  </conditionalFormatting>
  <conditionalFormatting sqref="AA53">
    <cfRule type="containsText" dxfId="71" priority="79" operator="containsText" text="true">
      <formula>NOT(ISERROR(SEARCH("true",AA53)))</formula>
    </cfRule>
  </conditionalFormatting>
  <conditionalFormatting sqref="AA54">
    <cfRule type="containsText" dxfId="70" priority="78" operator="containsText" text="true">
      <formula>NOT(ISERROR(SEARCH("true",AA54)))</formula>
    </cfRule>
  </conditionalFormatting>
  <conditionalFormatting sqref="AA156">
    <cfRule type="containsText" dxfId="69" priority="77" operator="containsText" text="true">
      <formula>NOT(ISERROR(SEARCH("true",AA156)))</formula>
    </cfRule>
  </conditionalFormatting>
  <conditionalFormatting sqref="AA158">
    <cfRule type="containsText" dxfId="68" priority="76" operator="containsText" text="true">
      <formula>NOT(ISERROR(SEARCH("true",AA158)))</formula>
    </cfRule>
  </conditionalFormatting>
  <conditionalFormatting sqref="G55">
    <cfRule type="containsText" dxfId="67" priority="75" operator="containsText" text="true">
      <formula>NOT(ISERROR(SEARCH("true",G55)))</formula>
    </cfRule>
  </conditionalFormatting>
  <conditionalFormatting sqref="A55:Y55 AV55:CT55 AB55:AR55 CV55:DB55">
    <cfRule type="containsText" dxfId="66" priority="74" operator="containsText" text="true">
      <formula>NOT(ISERROR(SEARCH("true",A55)))</formula>
    </cfRule>
  </conditionalFormatting>
  <conditionalFormatting sqref="AT55">
    <cfRule type="containsText" dxfId="65" priority="73" operator="containsText" text="true">
      <formula>NOT(ISERROR(SEARCH("true",AT55)))</formula>
    </cfRule>
  </conditionalFormatting>
  <conditionalFormatting sqref="AU55">
    <cfRule type="containsText" dxfId="64" priority="72" operator="containsText" text="true">
      <formula>NOT(ISERROR(SEARCH("true",AU55)))</formula>
    </cfRule>
  </conditionalFormatting>
  <conditionalFormatting sqref="AS55">
    <cfRule type="containsText" dxfId="63" priority="71" operator="containsText" text="true">
      <formula>NOT(ISERROR(SEARCH("true",AS55)))</formula>
    </cfRule>
  </conditionalFormatting>
  <conditionalFormatting sqref="CU55">
    <cfRule type="containsText" dxfId="62" priority="70" operator="containsText" text="true">
      <formula>NOT(ISERROR(SEARCH("true",CU55)))</formula>
    </cfRule>
  </conditionalFormatting>
  <conditionalFormatting sqref="Z55">
    <cfRule type="containsText" dxfId="61" priority="69" operator="containsText" text="true">
      <formula>NOT(ISERROR(SEARCH("true",Z55)))</formula>
    </cfRule>
  </conditionalFormatting>
  <conditionalFormatting sqref="AA55">
    <cfRule type="containsText" dxfId="60" priority="68" operator="containsText" text="true">
      <formula>NOT(ISERROR(SEARCH("true",AA55)))</formula>
    </cfRule>
  </conditionalFormatting>
  <conditionalFormatting sqref="G70">
    <cfRule type="containsText" dxfId="59" priority="67" operator="containsText" text="true">
      <formula>NOT(ISERROR(SEARCH("true",G70)))</formula>
    </cfRule>
  </conditionalFormatting>
  <conditionalFormatting sqref="K70:Y70 A70:I70 AT70:CT70 AB70:AR70 CV70:DB70">
    <cfRule type="containsText" dxfId="58" priority="66" operator="containsText" text="true">
      <formula>NOT(ISERROR(SEARCH("true",A70)))</formula>
    </cfRule>
  </conditionalFormatting>
  <conditionalFormatting sqref="J70">
    <cfRule type="containsText" dxfId="57" priority="65" operator="containsText" text="true">
      <formula>NOT(ISERROR(SEARCH("true",J70)))</formula>
    </cfRule>
  </conditionalFormatting>
  <conditionalFormatting sqref="AS70">
    <cfRule type="containsText" dxfId="56" priority="64" operator="containsText" text="true">
      <formula>NOT(ISERROR(SEARCH("true",AS70)))</formula>
    </cfRule>
  </conditionalFormatting>
  <conditionalFormatting sqref="CU70">
    <cfRule type="containsText" dxfId="55" priority="63" operator="containsText" text="true">
      <formula>NOT(ISERROR(SEARCH("true",CU70)))</formula>
    </cfRule>
  </conditionalFormatting>
  <conditionalFormatting sqref="Z70">
    <cfRule type="containsText" dxfId="54" priority="62" operator="containsText" text="true">
      <formula>NOT(ISERROR(SEARCH("true",Z70)))</formula>
    </cfRule>
  </conditionalFormatting>
  <conditionalFormatting sqref="AA70">
    <cfRule type="containsText" dxfId="53" priority="61" operator="containsText" text="true">
      <formula>NOT(ISERROR(SEARCH("true",AA70)))</formula>
    </cfRule>
  </conditionalFormatting>
  <conditionalFormatting sqref="G143">
    <cfRule type="containsText" dxfId="52" priority="53" operator="containsText" text="true">
      <formula>NOT(ISERROR(SEARCH("true",G143)))</formula>
    </cfRule>
  </conditionalFormatting>
  <conditionalFormatting sqref="AT143 AB143:AR143 CV143:DB143 AV143:CT143 A143:Y143">
    <cfRule type="containsText" dxfId="51" priority="52" operator="containsText" text="true">
      <formula>NOT(ISERROR(SEARCH("true",A143)))</formula>
    </cfRule>
  </conditionalFormatting>
  <conditionalFormatting sqref="AU143">
    <cfRule type="containsText" dxfId="50" priority="51" operator="containsText" text="true">
      <formula>NOT(ISERROR(SEARCH("true",AU143)))</formula>
    </cfRule>
  </conditionalFormatting>
  <conditionalFormatting sqref="AS143">
    <cfRule type="containsText" dxfId="49" priority="50" operator="containsText" text="true">
      <formula>NOT(ISERROR(SEARCH("true",AS143)))</formula>
    </cfRule>
  </conditionalFormatting>
  <conditionalFormatting sqref="CU143">
    <cfRule type="containsText" dxfId="48" priority="49" operator="containsText" text="true">
      <formula>NOT(ISERROR(SEARCH("true",CU143)))</formula>
    </cfRule>
  </conditionalFormatting>
  <conditionalFormatting sqref="Z143">
    <cfRule type="containsText" dxfId="47" priority="48" operator="containsText" text="true">
      <formula>NOT(ISERROR(SEARCH("true",Z143)))</formula>
    </cfRule>
  </conditionalFormatting>
  <conditionalFormatting sqref="AA143">
    <cfRule type="containsText" dxfId="46" priority="47" operator="containsText" text="true">
      <formula>NOT(ISERROR(SEARCH("true",AA143)))</formula>
    </cfRule>
  </conditionalFormatting>
  <conditionalFormatting sqref="G144">
    <cfRule type="containsText" dxfId="45" priority="46" operator="containsText" text="true">
      <formula>NOT(ISERROR(SEARCH("true",G144)))</formula>
    </cfRule>
  </conditionalFormatting>
  <conditionalFormatting sqref="AB144:AR144 AV144:CT144 A144:Y144 CV144:DB144">
    <cfRule type="containsText" dxfId="44" priority="45" operator="containsText" text="true">
      <formula>NOT(ISERROR(SEARCH("true",A144)))</formula>
    </cfRule>
  </conditionalFormatting>
  <conditionalFormatting sqref="AU144">
    <cfRule type="containsText" dxfId="43" priority="44" operator="containsText" text="true">
      <formula>NOT(ISERROR(SEARCH("true",AU144)))</formula>
    </cfRule>
  </conditionalFormatting>
  <conditionalFormatting sqref="AT144">
    <cfRule type="containsText" dxfId="42" priority="43" operator="containsText" text="true">
      <formula>NOT(ISERROR(SEARCH("true",AT144)))</formula>
    </cfRule>
  </conditionalFormatting>
  <conditionalFormatting sqref="AS144">
    <cfRule type="containsText" dxfId="41" priority="42" operator="containsText" text="true">
      <formula>NOT(ISERROR(SEARCH("true",AS144)))</formula>
    </cfRule>
  </conditionalFormatting>
  <conditionalFormatting sqref="CU144">
    <cfRule type="containsText" dxfId="40" priority="41" operator="containsText" text="true">
      <formula>NOT(ISERROR(SEARCH("true",CU144)))</formula>
    </cfRule>
  </conditionalFormatting>
  <conditionalFormatting sqref="Z144">
    <cfRule type="containsText" dxfId="39" priority="40" operator="containsText" text="true">
      <formula>NOT(ISERROR(SEARCH("true",Z144)))</formula>
    </cfRule>
  </conditionalFormatting>
  <conditionalFormatting sqref="AA144">
    <cfRule type="containsText" dxfId="38" priority="39" operator="containsText" text="true">
      <formula>NOT(ISERROR(SEARCH("true",AA144)))</formula>
    </cfRule>
  </conditionalFormatting>
  <conditionalFormatting sqref="G72">
    <cfRule type="containsText" dxfId="37" priority="38" operator="containsText" text="true">
      <formula>NOT(ISERROR(SEARCH("true",G72)))</formula>
    </cfRule>
  </conditionalFormatting>
  <conditionalFormatting sqref="A72:Y72 AV72:CT72 AB72:AR72 CV72:DB72">
    <cfRule type="containsText" dxfId="36" priority="37" operator="containsText" text="true">
      <formula>NOT(ISERROR(SEARCH("true",A72)))</formula>
    </cfRule>
  </conditionalFormatting>
  <conditionalFormatting sqref="AT72">
    <cfRule type="containsText" dxfId="35" priority="36" operator="containsText" text="true">
      <formula>NOT(ISERROR(SEARCH("true",AT72)))</formula>
    </cfRule>
  </conditionalFormatting>
  <conditionalFormatting sqref="AU72">
    <cfRule type="containsText" dxfId="34" priority="35" operator="containsText" text="true">
      <formula>NOT(ISERROR(SEARCH("true",AU72)))</formula>
    </cfRule>
  </conditionalFormatting>
  <conditionalFormatting sqref="AS72">
    <cfRule type="containsText" dxfId="33" priority="34" operator="containsText" text="true">
      <formula>NOT(ISERROR(SEARCH("true",AS72)))</formula>
    </cfRule>
  </conditionalFormatting>
  <conditionalFormatting sqref="CU72">
    <cfRule type="containsText" dxfId="32" priority="33" operator="containsText" text="true">
      <formula>NOT(ISERROR(SEARCH("true",CU72)))</formula>
    </cfRule>
  </conditionalFormatting>
  <conditionalFormatting sqref="Z72">
    <cfRule type="containsText" dxfId="31" priority="32" operator="containsText" text="true">
      <formula>NOT(ISERROR(SEARCH("true",Z72)))</formula>
    </cfRule>
  </conditionalFormatting>
  <conditionalFormatting sqref="AA72">
    <cfRule type="containsText" dxfId="30" priority="31" operator="containsText" text="true">
      <formula>NOT(ISERROR(SEARCH("true",AA72)))</formula>
    </cfRule>
  </conditionalFormatting>
  <conditionalFormatting sqref="G57">
    <cfRule type="containsText" dxfId="29" priority="30" operator="containsText" text="true">
      <formula>NOT(ISERROR(SEARCH("true",G57)))</formula>
    </cfRule>
  </conditionalFormatting>
  <conditionalFormatting sqref="A57:Y57 AT57:CT57 AB57:AR57 CV57:DB57">
    <cfRule type="containsText" dxfId="28" priority="29" operator="containsText" text="true">
      <formula>NOT(ISERROR(SEARCH("true",A57)))</formula>
    </cfRule>
  </conditionalFormatting>
  <conditionalFormatting sqref="AS57">
    <cfRule type="containsText" dxfId="27" priority="28" operator="containsText" text="true">
      <formula>NOT(ISERROR(SEARCH("true",AS57)))</formula>
    </cfRule>
  </conditionalFormatting>
  <conditionalFormatting sqref="CU57">
    <cfRule type="containsText" dxfId="26" priority="27" operator="containsText" text="true">
      <formula>NOT(ISERROR(SEARCH("true",CU57)))</formula>
    </cfRule>
  </conditionalFormatting>
  <conditionalFormatting sqref="Z57">
    <cfRule type="containsText" dxfId="25" priority="26" operator="containsText" text="true">
      <formula>NOT(ISERROR(SEARCH("true",Z57)))</formula>
    </cfRule>
  </conditionalFormatting>
  <conditionalFormatting sqref="AA57">
    <cfRule type="containsText" dxfId="24" priority="25" operator="containsText" text="true">
      <formula>NOT(ISERROR(SEARCH("true",AA57)))</formula>
    </cfRule>
  </conditionalFormatting>
  <conditionalFormatting sqref="G64">
    <cfRule type="containsText" dxfId="23" priority="24" operator="containsText" text="true">
      <formula>NOT(ISERROR(SEARCH("true",G64)))</formula>
    </cfRule>
  </conditionalFormatting>
  <conditionalFormatting sqref="AU64:CT64 A64:I64 CV64:DB64 AB64:AR64 K64:Y64">
    <cfRule type="containsText" dxfId="22" priority="23" operator="containsText" text="true">
      <formula>NOT(ISERROR(SEARCH("true",A64)))</formula>
    </cfRule>
  </conditionalFormatting>
  <conditionalFormatting sqref="AT64">
    <cfRule type="containsText" dxfId="21" priority="22" operator="containsText" text="true">
      <formula>NOT(ISERROR(SEARCH("true",AT64)))</formula>
    </cfRule>
  </conditionalFormatting>
  <conditionalFormatting sqref="J64">
    <cfRule type="containsText" dxfId="20" priority="21" operator="containsText" text="true">
      <formula>NOT(ISERROR(SEARCH("true",J64)))</formula>
    </cfRule>
  </conditionalFormatting>
  <conditionalFormatting sqref="AS64">
    <cfRule type="containsText" dxfId="19" priority="20" operator="containsText" text="true">
      <formula>NOT(ISERROR(SEARCH("true",AS64)))</formula>
    </cfRule>
  </conditionalFormatting>
  <conditionalFormatting sqref="CU64">
    <cfRule type="containsText" dxfId="18" priority="19" operator="containsText" text="true">
      <formula>NOT(ISERROR(SEARCH("true",CU64)))</formula>
    </cfRule>
  </conditionalFormatting>
  <conditionalFormatting sqref="Z64">
    <cfRule type="containsText" dxfId="17" priority="18" operator="containsText" text="true">
      <formula>NOT(ISERROR(SEARCH("true",Z64)))</formula>
    </cfRule>
  </conditionalFormatting>
  <conditionalFormatting sqref="AA64">
    <cfRule type="containsText" dxfId="16" priority="17" operator="containsText" text="true">
      <formula>NOT(ISERROR(SEARCH("true",AA64)))</formula>
    </cfRule>
  </conditionalFormatting>
  <conditionalFormatting sqref="G196">
    <cfRule type="containsText" dxfId="15" priority="16" operator="containsText" text="true">
      <formula>NOT(ISERROR(SEARCH("true",G196)))</formula>
    </cfRule>
  </conditionalFormatting>
  <conditionalFormatting sqref="A196:Y196 AB196:BK196 BM196:DB196">
    <cfRule type="containsText" dxfId="14" priority="15" operator="containsText" text="true">
      <formula>NOT(ISERROR(SEARCH("true",A196)))</formula>
    </cfRule>
  </conditionalFormatting>
  <conditionalFormatting sqref="Z196">
    <cfRule type="containsText" dxfId="13" priority="14" operator="containsText" text="true">
      <formula>NOT(ISERROR(SEARCH("true",Z196)))</formula>
    </cfRule>
  </conditionalFormatting>
  <conditionalFormatting sqref="AA196">
    <cfRule type="containsText" dxfId="12" priority="13" operator="containsText" text="true">
      <formula>NOT(ISERROR(SEARCH("true",AA196)))</formula>
    </cfRule>
  </conditionalFormatting>
  <conditionalFormatting sqref="G197">
    <cfRule type="containsText" dxfId="11" priority="12" operator="containsText" text="true">
      <formula>NOT(ISERROR(SEARCH("true",G197)))</formula>
    </cfRule>
  </conditionalFormatting>
  <conditionalFormatting sqref="A197:Y197 AB197:BK197 BM197:DB197">
    <cfRule type="containsText" dxfId="10" priority="11" operator="containsText" text="true">
      <formula>NOT(ISERROR(SEARCH("true",A197)))</formula>
    </cfRule>
  </conditionalFormatting>
  <conditionalFormatting sqref="Z197">
    <cfRule type="containsText" dxfId="9" priority="10" operator="containsText" text="true">
      <formula>NOT(ISERROR(SEARCH("true",Z197)))</formula>
    </cfRule>
  </conditionalFormatting>
  <conditionalFormatting sqref="AA197">
    <cfRule type="containsText" dxfId="8" priority="9" operator="containsText" text="true">
      <formula>NOT(ISERROR(SEARCH("true",AA197)))</formula>
    </cfRule>
  </conditionalFormatting>
  <conditionalFormatting sqref="G198">
    <cfRule type="containsText" dxfId="7" priority="8" operator="containsText" text="true">
      <formula>NOT(ISERROR(SEARCH("true",G198)))</formula>
    </cfRule>
  </conditionalFormatting>
  <conditionalFormatting sqref="A198:Y198 AB198:BK198 BM198:DB198">
    <cfRule type="containsText" dxfId="6" priority="7" operator="containsText" text="true">
      <formula>NOT(ISERROR(SEARCH("true",A198)))</formula>
    </cfRule>
  </conditionalFormatting>
  <conditionalFormatting sqref="Z198">
    <cfRule type="containsText" dxfId="5" priority="6" operator="containsText" text="true">
      <formula>NOT(ISERROR(SEARCH("true",Z198)))</formula>
    </cfRule>
  </conditionalFormatting>
  <conditionalFormatting sqref="AA198">
    <cfRule type="containsText" dxfId="4" priority="5" operator="containsText" text="true">
      <formula>NOT(ISERROR(SEARCH("true",AA198)))</formula>
    </cfRule>
  </conditionalFormatting>
  <conditionalFormatting sqref="G199">
    <cfRule type="containsText" dxfId="3" priority="4" operator="containsText" text="true">
      <formula>NOT(ISERROR(SEARCH("true",G199)))</formula>
    </cfRule>
  </conditionalFormatting>
  <conditionalFormatting sqref="A199:Y199 AB199:BK199 BM199:DB199">
    <cfRule type="containsText" dxfId="2" priority="3" operator="containsText" text="true">
      <formula>NOT(ISERROR(SEARCH("true",A199)))</formula>
    </cfRule>
  </conditionalFormatting>
  <conditionalFormatting sqref="Z199">
    <cfRule type="containsText" dxfId="1" priority="2" operator="containsText" text="true">
      <formula>NOT(ISERROR(SEARCH("true",Z199)))</formula>
    </cfRule>
  </conditionalFormatting>
  <conditionalFormatting sqref="AA199">
    <cfRule type="containsText" dxfId="0" priority="1" operator="containsText" text="true">
      <formula>NOT(ISERROR(SEARCH("true",AA199)))</formula>
    </cfRule>
  </conditionalFormatting>
  <dataValidations count="10">
    <dataValidation type="decimal" operator="greaterThanOrEqual" allowBlank="1" showInputMessage="1" showErrorMessage="1" sqref="AJ229:AJ351 AC4:AF351 AH4:AH351 J4:J351 BD4:BG351" xr:uid="{00000000-0002-0000-0000-000001000000}">
      <formula1>0</formula1>
    </dataValidation>
    <dataValidation type="whole" allowBlank="1" showInputMessage="1" showErrorMessage="1" sqref="H4:H351" xr:uid="{00000000-0002-0000-0000-000000000000}">
      <formula1>1</formula1>
      <formula2>2</formula2>
    </dataValidation>
    <dataValidation type="whole" allowBlank="1" showInputMessage="1" showErrorMessage="1" sqref="AK4:AK351" xr:uid="{00000000-0002-0000-0000-000002000000}">
      <formula1>1</formula1>
      <formula2>10</formula2>
    </dataValidation>
    <dataValidation type="whole" allowBlank="1" showInputMessage="1" showErrorMessage="1" sqref="AP4:AP351 AT4:AT351 AX4:AX351 BB4:BB351 BJ4:BJ351" xr:uid="{00000000-0002-0000-0000-000003000000}">
      <formula1>0</formula1>
      <formula2>24</formula2>
    </dataValidation>
    <dataValidation type="whole" allowBlank="1" showInputMessage="1" showErrorMessage="1" sqref="AI4:AI351 BN4:BN351" xr:uid="{00000000-0002-0000-0000-000004000000}">
      <formula1>0</formula1>
      <formula2>9</formula2>
    </dataValidation>
    <dataValidation type="whole" allowBlank="1" showInputMessage="1" showErrorMessage="1" sqref="AG4:AG351" xr:uid="{00000000-0002-0000-0000-000005000000}">
      <formula1>0</formula1>
      <formula2>5</formula2>
    </dataValidation>
    <dataValidation type="decimal" operator="greaterThanOrEqual" allowBlank="1" showInputMessage="1" showErrorMessage="1" sqref="F4:F351" xr:uid="{00000000-0002-0000-0000-000006000000}">
      <formula1>1</formula1>
    </dataValidation>
    <dataValidation type="list" allowBlank="1" showInputMessage="1" showErrorMessage="1" sqref="E4:E351" xr:uid="{00000000-0002-0000-0000-000008000000}">
      <formula1>$A$4:$A$251</formula1>
    </dataValidation>
    <dataValidation type="whole" operator="greaterThanOrEqual" allowBlank="1" showInputMessage="1" showErrorMessage="1" sqref="AJ4:AJ228" xr:uid="{B0B3304B-5FC4-4CD4-92E5-1CA929882700}">
      <formula1>-72</formula1>
    </dataValidation>
    <dataValidation type="custom" allowBlank="1" showInputMessage="1" showErrorMessage="1" sqref="A4:A351 C4:D351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N4:V351 CS4:CS351 CA4:CP351 BU4:BY351 G4:G351 K4:L351 X4:AB351 AL4:AM351 AR4:AR351 BO4:BO351 DB4:DB351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AQ4:AQ351 AU4:AU351 AY4:AY351 BC4:BC351 BK4:BK351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BM4:BM351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W4:W351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2022-05-11T19:24:32Z</dcterms:modified>
</cp:coreProperties>
</file>