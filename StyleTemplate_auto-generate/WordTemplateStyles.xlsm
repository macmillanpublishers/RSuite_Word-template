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essica.yodis\Dropbox (Macmillan Publishers)\backup-PC\Downloads\RSuite_Word-template-master\RSuite_Word-template-master\StyleTemplate_auto-generate\"/>
    </mc:Choice>
  </mc:AlternateContent>
  <bookViews>
    <workbookView xWindow="0" yWindow="0" windowWidth="19200" windowHeight="7300" tabRatio="500"/>
  </bookViews>
  <sheets>
    <sheet name="Styles" sheetId="1" r:id="rId1"/>
    <sheet name="validation_menus" sheetId="2" r:id="rId2"/>
  </sheets>
  <functionGroups builtInGroupCount="18"/>
  <externalReferences>
    <externalReference r:id="rId3"/>
  </externalReferences>
  <definedNames>
    <definedName name="_xlnm._FilterDatabase" localSheetId="0" hidden="1">Styles!$A$3:$CT$35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92" i="1" l="1"/>
  <c r="CS192" i="1"/>
  <c r="E192" i="1"/>
  <c r="A193" i="1"/>
  <c r="CS193" i="1"/>
  <c r="A49" i="1"/>
  <c r="CS49" i="1"/>
  <c r="E174" i="1"/>
  <c r="E184" i="1"/>
  <c r="E173" i="1"/>
  <c r="E172" i="1"/>
  <c r="E171" i="1"/>
  <c r="A170" i="1"/>
  <c r="CS170" i="1"/>
  <c r="E170" i="1"/>
  <c r="A171" i="1"/>
  <c r="CS171" i="1"/>
  <c r="A172" i="1"/>
  <c r="CS172" i="1"/>
  <c r="A173" i="1"/>
  <c r="CS173" i="1"/>
  <c r="A184" i="1"/>
  <c r="CS184" i="1"/>
  <c r="A174" i="1"/>
  <c r="CS174" i="1"/>
  <c r="A4" i="1"/>
  <c r="CS4" i="1"/>
  <c r="A10" i="1"/>
  <c r="CS10" i="1"/>
  <c r="A5" i="1"/>
  <c r="A176" i="1"/>
  <c r="CS176" i="1"/>
  <c r="A160" i="1"/>
  <c r="CS160" i="1"/>
  <c r="A162" i="1"/>
  <c r="CS162" i="1"/>
  <c r="A127" i="1"/>
  <c r="CS127" i="1"/>
  <c r="E127" i="1"/>
  <c r="A97" i="1"/>
  <c r="CS97" i="1"/>
  <c r="E97" i="1"/>
  <c r="A187" i="1"/>
  <c r="CS187" i="1"/>
  <c r="A186" i="1"/>
  <c r="CS186" i="1"/>
  <c r="A180" i="1"/>
  <c r="CS180" i="1"/>
  <c r="E180" i="1"/>
  <c r="E176" i="1"/>
  <c r="A147" i="1"/>
  <c r="CS147" i="1"/>
  <c r="A146" i="1"/>
  <c r="CS146" i="1"/>
  <c r="A161" i="1"/>
  <c r="CS161" i="1"/>
  <c r="A159" i="1"/>
  <c r="CS159" i="1"/>
  <c r="A158" i="1"/>
  <c r="CS158" i="1"/>
  <c r="A157" i="1"/>
  <c r="CS157" i="1"/>
  <c r="A156" i="1"/>
  <c r="CS156" i="1"/>
  <c r="A155" i="1"/>
  <c r="CS155" i="1"/>
  <c r="A154" i="1"/>
  <c r="CS154" i="1"/>
  <c r="A153" i="1"/>
  <c r="CS153" i="1"/>
  <c r="A152" i="1"/>
  <c r="CS152" i="1"/>
  <c r="A151" i="1"/>
  <c r="CS151" i="1"/>
  <c r="A150" i="1"/>
  <c r="CS150" i="1"/>
  <c r="A149" i="1"/>
  <c r="CS149" i="1"/>
  <c r="A148" i="1"/>
  <c r="CS148" i="1"/>
  <c r="A145" i="1"/>
  <c r="CS145" i="1"/>
  <c r="A144" i="1"/>
  <c r="CS144" i="1"/>
  <c r="A143" i="1"/>
  <c r="CS143" i="1"/>
  <c r="A141" i="1"/>
  <c r="CS141" i="1"/>
  <c r="E141" i="1"/>
  <c r="A138" i="1"/>
  <c r="CS138" i="1"/>
  <c r="A129" i="1"/>
  <c r="CS129" i="1"/>
  <c r="E129" i="1"/>
  <c r="A120" i="1"/>
  <c r="CS120" i="1"/>
  <c r="A118" i="1"/>
  <c r="CS118" i="1"/>
  <c r="E118" i="1"/>
  <c r="A117" i="1"/>
  <c r="CS117" i="1"/>
  <c r="E117" i="1"/>
  <c r="A116" i="1"/>
  <c r="CS116" i="1"/>
  <c r="E116" i="1"/>
  <c r="A113" i="1"/>
  <c r="CS113" i="1"/>
  <c r="E113" i="1"/>
  <c r="A112" i="1"/>
  <c r="CS112" i="1"/>
  <c r="A109" i="1"/>
  <c r="CS109" i="1"/>
  <c r="E109" i="1"/>
  <c r="A107" i="1"/>
  <c r="CS107" i="1"/>
  <c r="E107" i="1"/>
  <c r="A105" i="1"/>
  <c r="CS105" i="1"/>
  <c r="E105" i="1"/>
  <c r="A103" i="1"/>
  <c r="CS103" i="1"/>
  <c r="E103" i="1"/>
  <c r="A101" i="1"/>
  <c r="CS101" i="1"/>
  <c r="E101" i="1"/>
  <c r="A99" i="1"/>
  <c r="CS99" i="1"/>
  <c r="E99" i="1"/>
  <c r="A95" i="1"/>
  <c r="CS95" i="1"/>
  <c r="E95" i="1"/>
  <c r="A93" i="1"/>
  <c r="CS93" i="1"/>
  <c r="E93" i="1"/>
  <c r="A91" i="1"/>
  <c r="CS91" i="1"/>
  <c r="E91" i="1"/>
  <c r="A89" i="1"/>
  <c r="CS89" i="1"/>
  <c r="E89" i="1"/>
  <c r="A87" i="1"/>
  <c r="CS87" i="1"/>
  <c r="E87" i="1"/>
  <c r="A85" i="1"/>
  <c r="CS85" i="1"/>
  <c r="A84" i="1"/>
  <c r="CS84" i="1"/>
  <c r="A83" i="1"/>
  <c r="CS83" i="1"/>
  <c r="A82" i="1"/>
  <c r="CS82" i="1"/>
  <c r="A81" i="1"/>
  <c r="CS81" i="1"/>
  <c r="A80" i="1"/>
  <c r="CS80" i="1"/>
  <c r="A79" i="1"/>
  <c r="CS79" i="1"/>
  <c r="A78" i="1"/>
  <c r="CS78" i="1"/>
  <c r="A77" i="1"/>
  <c r="CS77" i="1"/>
  <c r="A76" i="1"/>
  <c r="CS76" i="1"/>
  <c r="A65" i="1"/>
  <c r="CS65" i="1"/>
  <c r="A64" i="1"/>
  <c r="CS64" i="1"/>
  <c r="A63" i="1"/>
  <c r="CS63" i="1"/>
  <c r="A61" i="1"/>
  <c r="CS61" i="1"/>
  <c r="A60" i="1"/>
  <c r="CS60" i="1"/>
  <c r="A59" i="1"/>
  <c r="CS59" i="1"/>
  <c r="A58" i="1"/>
  <c r="CS58" i="1"/>
  <c r="A57" i="1"/>
  <c r="CS57" i="1"/>
  <c r="A56" i="1"/>
  <c r="CS56" i="1"/>
  <c r="A55" i="1"/>
  <c r="CS55" i="1"/>
  <c r="A54" i="1"/>
  <c r="CS54" i="1"/>
  <c r="A53" i="1"/>
  <c r="CS53" i="1"/>
  <c r="A52" i="1"/>
  <c r="CS52" i="1"/>
  <c r="A66" i="1"/>
  <c r="CS66" i="1"/>
  <c r="A41" i="1"/>
  <c r="CS41" i="1"/>
  <c r="A40" i="1"/>
  <c r="CS40" i="1"/>
  <c r="A22" i="1"/>
  <c r="CS22" i="1"/>
  <c r="A21" i="1"/>
  <c r="CS21" i="1"/>
  <c r="A17" i="1"/>
  <c r="CS17" i="1"/>
  <c r="A11" i="1"/>
  <c r="CS11" i="1"/>
  <c r="E191" i="1"/>
  <c r="E190" i="1"/>
  <c r="E189" i="1"/>
  <c r="E188" i="1"/>
  <c r="E185" i="1"/>
  <c r="E183" i="1"/>
  <c r="E182" i="1"/>
  <c r="E181" i="1"/>
  <c r="E179" i="1"/>
  <c r="E178" i="1"/>
  <c r="E177" i="1"/>
  <c r="E175" i="1"/>
  <c r="E169" i="1"/>
  <c r="E168" i="1"/>
  <c r="E167" i="1"/>
  <c r="E166" i="1"/>
  <c r="E165" i="1"/>
  <c r="E164" i="1"/>
  <c r="E163" i="1"/>
  <c r="E140" i="1"/>
  <c r="E139" i="1"/>
  <c r="E135" i="1"/>
  <c r="E134" i="1"/>
  <c r="E133" i="1"/>
  <c r="E132" i="1"/>
  <c r="E131" i="1"/>
  <c r="E130" i="1"/>
  <c r="E128" i="1"/>
  <c r="E126" i="1"/>
  <c r="E125" i="1"/>
  <c r="E124" i="1"/>
  <c r="E114" i="1"/>
  <c r="E111" i="1"/>
  <c r="E110" i="1"/>
  <c r="E108" i="1"/>
  <c r="E106" i="1"/>
  <c r="E104" i="1"/>
  <c r="E102" i="1"/>
  <c r="E100" i="1"/>
  <c r="E98" i="1"/>
  <c r="E96" i="1"/>
  <c r="E94" i="1"/>
  <c r="E92" i="1"/>
  <c r="E90" i="1"/>
  <c r="E88" i="1"/>
  <c r="E86" i="1"/>
  <c r="E75" i="1"/>
  <c r="E74" i="1"/>
  <c r="E73" i="1"/>
  <c r="E72" i="1"/>
  <c r="E71" i="1"/>
  <c r="E70" i="1"/>
  <c r="E69" i="1"/>
  <c r="E68" i="1"/>
  <c r="A36" i="1"/>
  <c r="A37" i="1"/>
  <c r="A38" i="1"/>
  <c r="A39" i="1"/>
  <c r="A42" i="1"/>
  <c r="A43" i="1"/>
  <c r="A44" i="1"/>
  <c r="A45" i="1"/>
  <c r="A46" i="1"/>
  <c r="A47" i="1"/>
  <c r="A48" i="1"/>
  <c r="A50" i="1"/>
  <c r="A51" i="1"/>
  <c r="A62" i="1"/>
  <c r="A67" i="1"/>
  <c r="A68" i="1"/>
  <c r="A69" i="1"/>
  <c r="A70" i="1"/>
  <c r="A71" i="1"/>
  <c r="A72" i="1"/>
  <c r="A73" i="1"/>
  <c r="A74" i="1"/>
  <c r="A75" i="1"/>
  <c r="A86" i="1"/>
  <c r="A88" i="1"/>
  <c r="A90" i="1"/>
  <c r="A92" i="1"/>
  <c r="A94" i="1"/>
  <c r="A96" i="1"/>
  <c r="A98" i="1"/>
  <c r="A100" i="1"/>
  <c r="A102" i="1"/>
  <c r="A104" i="1"/>
  <c r="A106" i="1"/>
  <c r="A108" i="1"/>
  <c r="A110" i="1"/>
  <c r="A111" i="1"/>
  <c r="A114" i="1"/>
  <c r="A115" i="1"/>
  <c r="A119" i="1"/>
  <c r="A121" i="1"/>
  <c r="A122" i="1"/>
  <c r="A123" i="1"/>
  <c r="A124" i="1"/>
  <c r="A125" i="1"/>
  <c r="A126" i="1"/>
  <c r="A128" i="1"/>
  <c r="A130" i="1"/>
  <c r="A131" i="1"/>
  <c r="A132" i="1"/>
  <c r="A133" i="1"/>
  <c r="A134" i="1"/>
  <c r="A135" i="1"/>
  <c r="A136" i="1"/>
  <c r="A137" i="1"/>
  <c r="A139" i="1"/>
  <c r="A140" i="1"/>
  <c r="A142" i="1"/>
  <c r="A163" i="1"/>
  <c r="A164" i="1"/>
  <c r="A165" i="1"/>
  <c r="A166" i="1"/>
  <c r="A167" i="1"/>
  <c r="A168" i="1"/>
  <c r="A169" i="1"/>
  <c r="A175" i="1"/>
  <c r="A177" i="1"/>
  <c r="A178" i="1"/>
  <c r="A179" i="1"/>
  <c r="A181" i="1"/>
  <c r="A182" i="1"/>
  <c r="A183" i="1"/>
  <c r="A185" i="1"/>
  <c r="A188" i="1"/>
  <c r="A189" i="1"/>
  <c r="A190" i="1"/>
  <c r="A191" i="1"/>
  <c r="CS36" i="1"/>
  <c r="CS191" i="1"/>
  <c r="CS190" i="1"/>
  <c r="CS189" i="1"/>
  <c r="CS37" i="1"/>
  <c r="CS38" i="1"/>
  <c r="CS39" i="1"/>
  <c r="CS42" i="1"/>
  <c r="CS43" i="1"/>
  <c r="CS44" i="1"/>
  <c r="CS45" i="1"/>
  <c r="CS46" i="1"/>
  <c r="CS47" i="1"/>
  <c r="CS48" i="1"/>
  <c r="CS50" i="1"/>
  <c r="CS51" i="1"/>
  <c r="CS62" i="1"/>
  <c r="CS67" i="1"/>
  <c r="CS68" i="1"/>
  <c r="CS69" i="1"/>
  <c r="CS70" i="1"/>
  <c r="CS71" i="1"/>
  <c r="CS72" i="1"/>
  <c r="CS73" i="1"/>
  <c r="CS74" i="1"/>
  <c r="CS75" i="1"/>
  <c r="CS86" i="1"/>
  <c r="CS88" i="1"/>
  <c r="CS90" i="1"/>
  <c r="CS92" i="1"/>
  <c r="CS94" i="1"/>
  <c r="CS96" i="1"/>
  <c r="CS98" i="1"/>
  <c r="CS100" i="1"/>
  <c r="CS102" i="1"/>
  <c r="CS104" i="1"/>
  <c r="CS106" i="1"/>
  <c r="CS108" i="1"/>
  <c r="CS110" i="1"/>
  <c r="CS111" i="1"/>
  <c r="CS114" i="1"/>
  <c r="CS115" i="1"/>
  <c r="CS119" i="1"/>
  <c r="CS121" i="1"/>
  <c r="CS122" i="1"/>
  <c r="CS123" i="1"/>
  <c r="CS124" i="1"/>
  <c r="CS125" i="1"/>
  <c r="CS126" i="1"/>
  <c r="CS128" i="1"/>
  <c r="CS130" i="1"/>
  <c r="CS131" i="1"/>
  <c r="CS132" i="1"/>
  <c r="CS133" i="1"/>
  <c r="CS134" i="1"/>
  <c r="CS135" i="1"/>
  <c r="CS136" i="1"/>
  <c r="CS137" i="1"/>
  <c r="CS139" i="1"/>
  <c r="CS140" i="1"/>
  <c r="CS142" i="1"/>
  <c r="CS163" i="1"/>
  <c r="CS164" i="1"/>
  <c r="CS165" i="1"/>
  <c r="CS166" i="1"/>
  <c r="CS167" i="1"/>
  <c r="CS168" i="1"/>
  <c r="CS169" i="1"/>
  <c r="CS175" i="1"/>
  <c r="CS177" i="1"/>
  <c r="CS178" i="1"/>
  <c r="CS179" i="1"/>
  <c r="CS181" i="1"/>
  <c r="CS182" i="1"/>
  <c r="CS183" i="1"/>
  <c r="CS185" i="1"/>
  <c r="CS188" i="1"/>
  <c r="A194" i="1"/>
  <c r="A195" i="1"/>
  <c r="A196" i="1"/>
  <c r="A197" i="1"/>
  <c r="A198" i="1"/>
  <c r="A199" i="1"/>
  <c r="A200" i="1"/>
  <c r="CS5" i="1"/>
  <c r="A6" i="1"/>
  <c r="CS6" i="1"/>
  <c r="A8" i="1"/>
  <c r="CS8" i="1"/>
  <c r="A7" i="1"/>
  <c r="CS7" i="1"/>
  <c r="A9" i="1"/>
  <c r="CS9" i="1"/>
  <c r="A12" i="1"/>
  <c r="CS12" i="1"/>
  <c r="A13" i="1"/>
  <c r="CS13" i="1"/>
  <c r="A14" i="1"/>
  <c r="CS14" i="1"/>
  <c r="A15" i="1"/>
  <c r="CS15" i="1"/>
  <c r="A16" i="1"/>
  <c r="CS16" i="1"/>
  <c r="A35" i="1"/>
  <c r="CS35" i="1"/>
  <c r="A18" i="1"/>
  <c r="CS18" i="1"/>
  <c r="A19" i="1"/>
  <c r="CS19" i="1"/>
  <c r="A20" i="1"/>
  <c r="CS20" i="1"/>
  <c r="A23" i="1"/>
  <c r="CS23" i="1"/>
  <c r="A26" i="1"/>
  <c r="CS26" i="1"/>
  <c r="A24" i="1"/>
  <c r="CS24" i="1"/>
  <c r="A25" i="1"/>
  <c r="CS25" i="1"/>
  <c r="A27" i="1"/>
  <c r="CS27" i="1"/>
  <c r="A31" i="1"/>
  <c r="CS31" i="1"/>
  <c r="A30" i="1"/>
  <c r="CS30" i="1"/>
  <c r="A29" i="1"/>
  <c r="CS29" i="1"/>
  <c r="A28" i="1"/>
  <c r="CS28" i="1"/>
  <c r="A32" i="1"/>
  <c r="CS32" i="1"/>
  <c r="A33" i="1"/>
  <c r="CS33" i="1"/>
  <c r="A34" i="1"/>
  <c r="CS34" i="1"/>
  <c r="CS194" i="1"/>
  <c r="CS195" i="1"/>
  <c r="CS196" i="1"/>
  <c r="CS197" i="1"/>
  <c r="CS198" i="1"/>
  <c r="CS199" i="1"/>
  <c r="CS200" i="1"/>
</calcChain>
</file>

<file path=xl/sharedStrings.xml><?xml version="1.0" encoding="utf-8"?>
<sst xmlns="http://schemas.openxmlformats.org/spreadsheetml/2006/main" count="2314" uniqueCount="752">
  <si>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</si>
  <si>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</si>
  <si>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</si>
  <si>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</si>
  <si>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</si>
  <si>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</si>
  <si>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</si>
  <si>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</si>
  <si>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</si>
  <si>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</si>
  <si>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</si>
  <si>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</si>
  <si>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</si>
  <si>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</si>
  <si>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</si>
  <si>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</si>
  <si>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</si>
  <si>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</si>
  <si>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</si>
  <si>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</si>
  <si>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</si>
  <si>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</si>
  <si>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</si>
  <si>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</si>
  <si>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</si>
  <si>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</si>
  <si>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</si>
  <si>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</si>
  <si>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</si>
  <si>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</si>
  <si>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</si>
  <si>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</si>
  <si>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</si>
  <si>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</si>
  <si>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</si>
  <si>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</si>
  <si>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</si>
  <si>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</si>
  <si>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</si>
  <si>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</si>
  <si>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</si>
  <si>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</si>
  <si>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</si>
  <si>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</si>
  <si>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</si>
  <si>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</si>
  <si>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</si>
  <si>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</si>
  <si>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</si>
  <si>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</si>
  <si>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</si>
  <si>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</si>
  <si>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</si>
  <si>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</si>
  <si>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</si>
  <si>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</si>
  <si>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</si>
  <si>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</si>
  <si>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</si>
  <si>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</si>
  <si>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</si>
  <si>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</si>
  <si>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</si>
  <si>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</si>
  <si>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</si>
  <si>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</si>
  <si>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</si>
  <si>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</si>
  <si>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</si>
  <si>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</si>
  <si>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</si>
  <si>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</si>
  <si>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</si>
  <si>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</si>
  <si>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</si>
  <si>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</si>
  <si>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</si>
  <si>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</si>
  <si>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</si>
  <si>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</si>
  <si>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</si>
  <si>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</si>
  <si>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</si>
  <si>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</si>
  <si>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</si>
  <si>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</si>
  <si>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</si>
  <si>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</si>
  <si>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</si>
  <si>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</si>
  <si>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</si>
  <si>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</si>
  <si>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</si>
  <si>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</si>
  <si>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</si>
  <si>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</si>
  <si>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</si>
  <si>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</si>
  <si>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</si>
  <si>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</si>
  <si>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</si>
  <si>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</si>
  <si>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</si>
  <si>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</si>
  <si>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</si>
  <si>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</si>
  <si>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</si>
  <si>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</si>
  <si>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</si>
  <si>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</si>
  <si>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</si>
  <si>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</si>
  <si>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</si>
  <si>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</si>
  <si>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</si>
  <si>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</si>
  <si>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</si>
  <si>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</si>
  <si>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</si>
  <si>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</si>
  <si>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</si>
  <si>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</si>
  <si>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</si>
  <si>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</si>
  <si>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</si>
  <si>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</si>
  <si>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</si>
  <si>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</si>
  <si>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</si>
  <si>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</si>
  <si>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</si>
  <si>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</si>
  <si>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</si>
  <si>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</si>
  <si>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</si>
  <si>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</si>
  <si>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</si>
  <si>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</si>
  <si>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</si>
  <si>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</si>
  <si>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</si>
  <si>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</si>
  <si>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</si>
  <si>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</si>
  <si>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</si>
  <si>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</si>
  <si>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</si>
  <si>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</si>
  <si>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</si>
  <si>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</si>
  <si>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</si>
  <si>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</si>
  <si>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</si>
  <si>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</si>
  <si>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</si>
  <si>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</si>
  <si>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</si>
  <si>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</si>
  <si>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</si>
  <si>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</si>
  <si>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</si>
  <si>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</si>
  <si>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</si>
  <si>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</si>
  <si>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</si>
  <si>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</si>
  <si>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</si>
  <si>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</si>
  <si>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</si>
  <si>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</si>
  <si>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</si>
  <si>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</si>
  <si>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</si>
  <si>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</si>
  <si>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</si>
  <si>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</si>
  <si>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</si>
  <si>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</si>
  <si>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</si>
  <si>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</si>
  <si>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</si>
  <si>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</si>
  <si>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</si>
  <si>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</si>
  <si>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</si>
  <si>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</si>
  <si>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</si>
  <si>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</si>
  <si>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</si>
  <si>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</si>
  <si>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</si>
  <si>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</si>
  <si>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</si>
  <si>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</si>
  <si>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</si>
  <si>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</si>
  <si>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</si>
  <si>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</si>
  <si>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</si>
  <si>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</si>
  <si>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</si>
  <si>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</si>
  <si>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</si>
  <si>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</si>
  <si>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</si>
  <si>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</si>
  <si>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</si>
  <si>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</si>
  <si>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</si>
  <si>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</si>
  <si>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</si>
  <si>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</si>
  <si>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</si>
  <si>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</si>
  <si>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</si>
  <si>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</si>
  <si>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</si>
  <si>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</si>
  <si>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</si>
  <si>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</si>
  <si>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</si>
  <si>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</si>
  <si>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</si>
  <si>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</si>
  <si>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</si>
  <si>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</si>
  <si>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</si>
  <si>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</si>
  <si>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</si>
  <si>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</si>
  <si>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</si>
  <si>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</si>
  <si>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</si>
  <si>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</si>
  <si>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</si>
  <si>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</si>
  <si>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</si>
  <si>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</si>
  <si>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</si>
  <si>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</si>
  <si>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</si>
  <si>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</si>
  <si>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</si>
  <si>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</si>
  <si>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</si>
  <si>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</si>
  <si>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</si>
  <si>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</si>
  <si>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</si>
  <si>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</si>
  <si>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</si>
  <si>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</si>
  <si>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</si>
  <si>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</si>
  <si>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</si>
  <si>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</si>
  <si>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</si>
  <si>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</si>
  <si>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</si>
  <si>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</si>
  <si>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</si>
  <si>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</si>
  <si>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</si>
  <si>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</si>
  <si>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</si>
  <si>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</si>
  <si>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</si>
  <si>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</si>
  <si>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</si>
  <si>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</si>
  <si>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</si>
  <si>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</si>
  <si>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</si>
  <si>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</si>
  <si>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</si>
  <si>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</si>
  <si>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</si>
  <si>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</si>
  <si>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</si>
  <si>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</si>
  <si>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</si>
  <si>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</si>
  <si>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</si>
  <si>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</si>
  <si>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</si>
  <si>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</si>
  <si>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</si>
  <si>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</si>
  <si>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</si>
  <si>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</si>
  <si>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</si>
  <si>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</si>
  <si>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</si>
  <si>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</si>
  <si>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</si>
  <si>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</si>
  <si>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</si>
  <si>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</si>
  <si>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</si>
  <si>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</si>
  <si>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</si>
  <si>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</si>
  <si>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</si>
  <si>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</si>
  <si>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</si>
  <si>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</si>
  <si>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</si>
  <si>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</si>
  <si>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</si>
  <si>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</si>
  <si>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</si>
  <si>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</si>
  <si>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</si>
  <si>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</si>
  <si>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</si>
  <si>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</si>
  <si>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</si>
  <si>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</si>
  <si>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</si>
  <si>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</si>
  <si>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</si>
  <si>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</si>
  <si>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</si>
  <si>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</si>
  <si>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</si>
  <si>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</si>
  <si>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</si>
  <si>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</si>
  <si>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</si>
  <si>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</si>
  <si>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</si>
  <si>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</si>
  <si>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</si>
  <si>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</si>
  <si>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</si>
  <si>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</si>
  <si>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</si>
  <si>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</si>
  <si>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</si>
  <si>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</si>
  <si>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</si>
  <si>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</si>
  <si>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</si>
  <si>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</si>
  <si>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</si>
  <si>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</si>
  <si>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</si>
  <si>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</si>
  <si>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</si>
  <si>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</si>
  <si>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</si>
  <si>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</si>
  <si>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</si>
  <si>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</si>
  <si>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</si>
  <si>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</si>
  <si>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</si>
  <si>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</si>
  <si>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</si>
  <si>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</si>
  <si>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</si>
  <si>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</si>
  <si>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</si>
  <si>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</si>
  <si>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</si>
  <si>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</si>
  <si>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</si>
  <si>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</si>
  <si>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</si>
  <si>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</si>
  <si>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</si>
  <si>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</si>
  <si>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</si>
  <si>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</si>
  <si>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</si>
  <si>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</si>
  <si>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</si>
  <si>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</si>
  <si>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</si>
  <si>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</si>
  <si>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</si>
  <si>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</si>
  <si>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</si>
  <si>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</si>
  <si>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</si>
  <si>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</si>
  <si>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</si>
  <si>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</si>
  <si>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</si>
  <si>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</si>
  <si>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</si>
  <si>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</si>
  <si>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</si>
  <si>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</si>
  <si>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</si>
  <si>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</si>
  <si>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</si>
  <si>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</si>
  <si>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</si>
  <si>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</si>
  <si>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</si>
  <si>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</si>
  <si>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</si>
  <si>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</si>
  <si>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</si>
  <si>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</si>
  <si>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</si>
  <si>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</si>
  <si>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</si>
  <si>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</si>
  <si>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</si>
  <si>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</si>
  <si>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</si>
  <si>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</si>
  <si>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</si>
  <si>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</si>
  <si>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</si>
  <si>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</si>
  <si>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</si>
  <si>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</si>
  <si>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</si>
  <si>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</si>
  <si>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</si>
  <si>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</si>
  <si>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</si>
  <si>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</si>
  <si>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</si>
  <si>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</si>
  <si>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</si>
  <si>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</si>
  <si>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</si>
  <si>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</si>
  <si>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</si>
  <si>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Section-Interlude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</si>
  <si>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</si>
  <si>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</si>
  <si>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</si>
  <si>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</si>
  <si>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</si>
  <si>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</si>
  <si>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</si>
  <si>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</si>
  <si>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</si>
  <si>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</si>
  <si>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</si>
  <si>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</si>
  <si>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</si>
  <si>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</si>
  <si>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</si>
  <si>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</si>
  <si>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</si>
  <si>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</si>
  <si>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</si>
  <si>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</si>
  <si>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</si>
  <si>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</si>
  <si>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</si>
  <si>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</si>
  <si>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</si>
  <si>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</si>
  <si>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</si>
  <si>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</si>
  <si>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</si>
  <si>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</si>
  <si>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</si>
  <si>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</si>
  <si>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</si>
  <si>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</si>
  <si>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</si>
  <si>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</si>
  <si>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</si>
  <si>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</si>
  <si>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</si>
  <si>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</si>
  <si>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</si>
  <si>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</si>
  <si>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</si>
  <si>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</si>
  <si>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</si>
  <si>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</si>
  <si>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</si>
  <si>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</si>
  <si>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</si>
  <si>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</si>
  <si>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</si>
  <si>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</si>
  <si>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</si>
  <si>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</si>
  <si>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</si>
  <si>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</si>
  <si>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</si>
  <si>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</si>
  <si>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</si>
  <si>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</si>
  <si>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</si>
  <si>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</si>
  <si>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</si>
  <si>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</si>
  <si>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</si>
  <si>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</si>
  <si>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</si>
  <si>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</si>
  <si>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</si>
  <si>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</si>
  <si>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</si>
  <si>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</si>
  <si>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</si>
  <si>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</si>
  <si>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</si>
  <si>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</si>
  <si>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</si>
  <si>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</si>
  <si>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</si>
  <si>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</si>
  <si>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</si>
  <si>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</si>
  <si>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</si>
  <si>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</si>
  <si>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</si>
  <si>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</si>
  <si>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</si>
  <si>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</si>
  <si>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</si>
  <si>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</si>
  <si>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</si>
  <si>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</si>
  <si>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</si>
  <si>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</si>
  <si>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</si>
  <si>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</si>
  <si>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</si>
  <si>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</si>
  <si>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</si>
  <si>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</si>
  <si>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</si>
  <si>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</si>
  <si>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</si>
  <si>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</si>
  <si>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</si>
  <si>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</si>
  <si>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</si>
  <si>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</si>
  <si>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</si>
  <si>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</si>
  <si>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</si>
  <si>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</si>
  <si>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</si>
  <si>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</si>
  <si>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</si>
  <si>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</si>
  <si>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</si>
  <si>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</si>
  <si>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</si>
  <si>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</si>
  <si>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</si>
  <si>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</si>
  <si>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</si>
  <si>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</si>
  <si>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</si>
  <si>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</si>
  <si>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</si>
  <si>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</si>
  <si>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</si>
  <si>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</si>
  <si>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</si>
  <si>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</si>
  <si>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</si>
  <si>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</si>
  <si>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</si>
  <si>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</si>
  <si>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</si>
  <si>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</si>
  <si>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</si>
  <si>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</si>
  <si>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</si>
  <si>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</si>
  <si>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</si>
  <si>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</si>
  <si>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</si>
  <si>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</si>
  <si>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</si>
  <si>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</si>
  <si>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</si>
  <si>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</si>
  <si>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</si>
  <si>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</si>
  <si>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</si>
  <si>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</si>
  <si>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</si>
  <si>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</si>
  <si>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</si>
  <si>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</si>
  <si>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</si>
  <si>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</si>
  <si>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</si>
  <si>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</si>
  <si>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</si>
  <si>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</si>
  <si>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</si>
  <si>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</si>
  <si>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</si>
  <si>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</si>
  <si>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</si>
  <si>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</si>
  <si>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</si>
  <si>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</si>
  <si>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</si>
  <si>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</si>
  <si>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</si>
  <si>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</si>
  <si>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</si>
  <si>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</si>
  <si>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</si>
  <si>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</si>
  <si>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</si>
  <si>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</si>
  <si>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</si>
  <si>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</si>
  <si>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</si>
  <si>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</si>
  <si>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</si>
  <si>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</si>
  <si>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</si>
  <si>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</si>
  <si>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</si>
  <si>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</si>
  <si>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</si>
  <si>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</si>
  <si>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</si>
  <si>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</si>
  <si>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</si>
  <si>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</si>
  <si>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</si>
  <si>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</si>
  <si>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</si>
  <si>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</si>
  <si>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</si>
  <si>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</si>
  <si>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</si>
  <si>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</si>
  <si>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</si>
  <si>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</si>
  <si>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</si>
  <si>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</si>
  <si>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</si>
  <si>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</si>
  <si>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</si>
  <si>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</si>
  <si>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</si>
  <si>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</si>
  <si>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</si>
  <si>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</si>
  <si>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</si>
  <si>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</si>
  <si>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</si>
  <si>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</si>
  <si>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</si>
  <si>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</si>
  <si>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</si>
  <si>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</si>
  <si>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</si>
  <si>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</si>
  <si>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</si>
  <si>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</si>
  <si>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</si>
  <si>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</si>
  <si>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</si>
  <si>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</si>
  <si>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</si>
  <si>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</si>
  <si>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</si>
  <si>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</si>
  <si>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0, 102, 0</t>
  </si>
  <si>
    <t>229, 229, 229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</si>
  <si>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</si>
  <si>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</si>
  <si>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</si>
  <si>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</si>
  <si>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</si>
  <si>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</si>
  <si>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</si>
  <si>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</si>
  <si>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</si>
  <si>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</si>
  <si>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225, 255, 225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</si>
  <si>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</si>
  <si>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</si>
  <si>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</si>
  <si>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</si>
  <si>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</si>
  <si>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</si>
  <si>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</si>
  <si>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</si>
  <si>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</si>
  <si>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</si>
  <si>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</si>
  <si>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</si>
  <si>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</si>
  <si>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</si>
  <si>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</si>
  <si>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</si>
  <si>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</si>
  <si>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</si>
  <si>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</si>
  <si>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</si>
  <si>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</si>
  <si>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</si>
  <si>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</si>
  <si>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</si>
  <si>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</si>
  <si>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</si>
  <si>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</si>
  <si>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</si>
  <si>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</si>
  <si>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</si>
  <si>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Interlude</t>
  </si>
  <si>
    <t>interlude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</si>
  <si>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</si>
  <si>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</si>
  <si>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</si>
  <si>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</si>
  <si>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</si>
  <si>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</si>
  <si>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</si>
  <si>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</si>
  <si>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</si>
  <si>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</si>
  <si>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</si>
  <si>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</si>
  <si>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</si>
  <si>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</si>
  <si>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</si>
  <si>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</si>
  <si>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</si>
  <si>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</si>
  <si>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</si>
  <si>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</si>
  <si>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</si>
  <si>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</si>
  <si>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</si>
  <si>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</si>
  <si>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</si>
  <si>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</si>
  <si>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</si>
  <si>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</si>
  <si>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</si>
  <si>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</si>
  <si>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</si>
  <si>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</si>
  <si>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isbn</t>
  </si>
  <si>
    <t>cs-isbn</t>
  </si>
  <si>
    <t>208,208,208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</si>
</sst>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A6A6A6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5" borderId="0" xfId="0" applyNumberFormat="1" applyFont="1" applyFill="1" applyProtection="1">
      <protection locked="0"/>
    </xf>
    <xf numFmtId="49" fontId="6" fillId="16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0" fontId="15" fillId="0" borderId="0" xfId="0" applyFont="1" applyProtection="1">
      <protection locked="0"/>
    </xf>
    <xf numFmtId="49" fontId="5" fillId="25" borderId="0" xfId="0" applyNumberFormat="1" applyFont="1" applyFill="1" applyProtection="1">
      <protection locked="0"/>
    </xf>
    <xf numFmtId="49" fontId="16" fillId="10" borderId="0" xfId="0" applyNumberFormat="1" applyFont="1" applyFill="1" applyProtection="1">
      <protection locked="0"/>
    </xf>
    <xf numFmtId="49" fontId="6" fillId="2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7" fillId="14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4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6" fillId="29" borderId="0" xfId="0" applyNumberFormat="1" applyFont="1" applyFill="1" applyProtection="1">
      <protection locked="0"/>
    </xf>
    <xf numFmtId="49" fontId="18" fillId="0" borderId="0" xfId="0" applyNumberFormat="1" applyFont="1" applyFill="1" applyProtection="1">
      <protection locked="0"/>
    </xf>
    <xf numFmtId="49" fontId="19" fillId="0" borderId="0" xfId="0" applyNumberFormat="1" applyFont="1" applyFill="1" applyProtection="1">
      <protection locked="0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  <xf numFmtId="0" fontId="0" fillId="30" borderId="0" xfId="0" applyFont="1" applyFill="1" applyProtection="1">
      <protection locked="0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7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sers\jessica.yodis\Downloads\WordTemplateStylesRE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yles"/>
      <sheetName val="validation_menus"/>
    </sheetNames>
    <sheetDataSet>
      <sheetData sheetId="0" refreshError="1"/>
      <sheetData sheetId="1"/>
    </sheetDataSet>
  </externalBook>
</externalLink>
</file>

<file path=xl/tables/table1.xml><?xml version="1.0" encoding="utf-8"?>
<table xmlns="http://schemas.openxmlformats.org/spreadsheetml/2006/main" id="2" name="Table2" displayName="Table2" ref="A3:CX191" totalsRowShown="0" headerRowDxfId="108" dataDxfId="106" headerRowBorderDxfId="107" tableBorderDxfId="105">
  <autoFilter ref="A3:CX191"/>
  <sortState ref="A4:CR481">
    <sortCondition ref="F3:F481"/>
  </sortState>
  <tableColumns count="102">
    <tableColumn id="1" name="Full_Style_Name" dataDxfId="104">
      <calculatedColumnFormula>IF($D4="","",TRIM($C4)&amp;" "&amp;CHAR(40)&amp;TRIM($D4)&amp;CHAR(41))</calculatedColumnFormula>
    </tableColumn>
    <tableColumn id="2" name="Usage_Notes" dataDxfId="103"/>
    <tableColumn id="3" name="Style_Name" dataDxfId="102"/>
    <tableColumn id="4" name="Style_Code" dataDxfId="101"/>
    <tableColumn id="5" name="NextParagraphStyle" dataDxfId="100"/>
    <tableColumn id="6" name="Priority" dataDxfId="99"/>
    <tableColumn id="7" name="QuickStyle" dataDxfId="98"/>
    <tableColumn id="8" name="Type" dataDxfId="97"/>
    <tableColumn id="9" name="Font.name" dataDxfId="96"/>
    <tableColumn id="10" name="Font.Size" dataDxfId="95"/>
    <tableColumn id="11" name="Font.Italic" dataDxfId="94"/>
    <tableColumn id="12" name="Font.Bold" dataDxfId="93"/>
    <tableColumn id="13" name="Font.TextColor" dataDxfId="92"/>
    <tableColumn id="14" name="Font.Underline" dataDxfId="91"/>
    <tableColumn id="15" name="Font.SmallCaps" dataDxfId="90"/>
    <tableColumn id="16" name="Font.Superscript" dataDxfId="89"/>
    <tableColumn id="17" name="Font.Subscript" dataDxfId="88"/>
    <tableColumn id="18" name="Font.StrikeThrough" dataDxfId="87"/>
    <tableColumn id="19" name="shortcut_keys_enabled_tf" dataDxfId="86"/>
    <tableColumn id="20" name="shortcut_keys__shift_tf" dataDxfId="85"/>
    <tableColumn id="21" name="shortcut_keys__control_tf" dataDxfId="84"/>
    <tableColumn id="22" name="shortcut_keys__alt_tf" dataDxfId="83"/>
    <tableColumn id="23" name="shortcut_keys__letter" dataDxfId="82"/>
    <tableColumn id="24" name="NoSpaceBetweenParagraphsOfSameStyle" dataDxfId="81"/>
    <tableColumn id="25" name="Bullet" dataDxfId="80"/>
    <tableColumn id="26" name="Checklist" dataDxfId="79"/>
    <tableColumn id="27" name="ParagraphFormat.LeftIndent" dataDxfId="78"/>
    <tableColumn id="28" name="ParagraphFormat.RightIndent" dataDxfId="77"/>
    <tableColumn id="29" name="ParagraphFormat.SpaceBefore" dataDxfId="76"/>
    <tableColumn id="30" name="ParagraphFormat.SpaceAfter" dataDxfId="75"/>
    <tableColumn id="31" name="ParagraphFormat.LineSpacingRule" dataDxfId="74"/>
    <tableColumn id="32" name="ParagraphFormat.LineSpacing" dataDxfId="73"/>
    <tableColumn id="33" name="ParagraphFormat.Alignment" dataDxfId="72"/>
    <tableColumn id="34" name="ParagraphFormat.FirstLineIndent" dataDxfId="71"/>
    <tableColumn id="35" name="ParagraphFormat.OutlineLevel" dataDxfId="70"/>
    <tableColumn id="36" name="ParagraphFormat.PageBreakBefore" dataDxfId="69"/>
    <tableColumn id="37" name="ParagraphFormat.WidowControl" dataDxfId="68"/>
    <tableColumn id="38" name="Borders(-1)" dataDxfId="67"/>
    <tableColumn id="39" name="Borders(-1).Color" dataDxfId="66"/>
    <tableColumn id="40" name="Borders(-1).LineStyle" dataDxfId="65"/>
    <tableColumn id="41" name="Borders(-1).LineWidth" dataDxfId="64"/>
    <tableColumn id="42" name="Borders(-2)" dataDxfId="63"/>
    <tableColumn id="43" name="Borders(-2).Color" dataDxfId="62"/>
    <tableColumn id="44" name="Borders(-2).LineStyle" dataDxfId="61"/>
    <tableColumn id="45" name="Borders(-2).LineWidth" dataDxfId="60"/>
    <tableColumn id="46" name="Borders(-3)" dataDxfId="59"/>
    <tableColumn id="47" name="Borders(-3).Color" dataDxfId="58"/>
    <tableColumn id="48" name="Borders(-3).LineStyle" dataDxfId="57"/>
    <tableColumn id="49" name="Borders(-3).LineWidth" dataDxfId="56"/>
    <tableColumn id="50" name="Borders(-4)" dataDxfId="55"/>
    <tableColumn id="51" name="Borders(-4).Color" dataDxfId="54"/>
    <tableColumn id="52" name="Borders(-4).LineStyle" dataDxfId="53"/>
    <tableColumn id="53" name="Borders(-4).LineWidth" dataDxfId="52"/>
    <tableColumn id="54" name="Borders.DistanceFromLeft" dataDxfId="51"/>
    <tableColumn id="55" name="Borders.DistanceFromRight" dataDxfId="50"/>
    <tableColumn id="56" name="Borders.DistanceFromTop" dataDxfId="49"/>
    <tableColumn id="57" name="Borders.DistanceFromBottom" dataDxfId="48"/>
    <tableColumn id="58" name="ParagraphFormat.Shading.BackgroundPatternColor" dataDxfId="47"/>
    <tableColumn id="59" name="Font.Borders(1).Color" dataDxfId="46"/>
    <tableColumn id="60" name="Font.Borders(1).LineStyle" dataDxfId="45"/>
    <tableColumn id="61" name="Font.Borders(1).LineWidth" dataDxfId="44"/>
    <tableColumn id="62" name="Font.Shading.BackgroundPatternColor" dataDxfId="43"/>
    <tableColumn id="63" name="BaseStyle" dataDxfId="42"/>
    <tableColumn id="64" name="ListLevelNumber" dataDxfId="41"/>
    <tableColumn id="65" name="NoProofing" dataDxfId="40"/>
    <tableColumn id="66" name="no_export.tag" dataDxfId="39"/>
    <tableColumn id="67" name="no_export.requiredparent" dataDxfId="38"/>
    <tableColumn id="68" name="no_export.toplevelparent" dataDxfId="37"/>
    <tableColumn id="69" name="no_export.parentdatatype" dataDxfId="36"/>
    <tableColumn id="70" name="no_export.parent" dataDxfId="35"/>
    <tableColumn id="71" name="html.partheads" dataDxfId="34"/>
    <tableColumn id="72" name="html.headingparas" dataDxfId="33"/>
    <tableColumn id="73" name="html.extractparas" dataDxfId="32"/>
    <tableColumn id="74" name="html.epigraphparas" dataDxfId="31"/>
    <tableColumn id="75" name="html.verseparas" dataDxfId="30"/>
    <tableColumn id="100" name="html.containerparas" dataDxfId="29"/>
    <tableColumn id="99" name="html.containerendparas" dataDxfId="28"/>
    <tableColumn id="78" name="html.illustrationparas" dataDxfId="27"/>
    <tableColumn id="79" name="html.imageholders" dataDxfId="26"/>
    <tableColumn id="80" name="html.captionparas" dataDxfId="25"/>
    <tableColumn id="81" name="html.illustrationsrcparas" dataDxfId="24"/>
    <tableColumn id="82" name="html.unorderedlistparaslevel1" dataDxfId="23"/>
    <tableColumn id="83" name="html.orderedlistparaslevel1" dataDxfId="22"/>
    <tableColumn id="84" name="html.unorderedlistparaslevel2" dataDxfId="21"/>
    <tableColumn id="85" name="html.orderedlistparaslevel2" dataDxfId="20"/>
    <tableColumn id="101" name="html.unorderedlistparaslevel3" dataDxfId="19"/>
    <tableColumn id="102" name="html.orderedlistparaslevel3" dataDxfId="18"/>
    <tableColumn id="103" name="html.listparaparas" dataDxfId="17"/>
    <tableColumn id="97" name="html.chaptertitleparas" dataDxfId="16"/>
    <tableColumn id="98" name="html.chapternumberparas" dataDxfId="15"/>
    <tableColumn id="86" name="html.omitparas" dataDxfId="14"/>
    <tableColumn id="87" name="html.versatileblockparas" dataDxfId="13"/>
    <tableColumn id="88" name="html.toplevelheads.type" dataDxfId="12"/>
    <tableColumn id="93" name="html.toplevelheads.label" dataDxfId="11"/>
    <tableColumn id="107" name="html.toplevelheads.tocexclude" dataDxfId="10"/>
    <tableColumn id="89" name="html.toplevelheads.class" dataDxfId="9"/>
    <tableColumn id="90" name="no_export.class" dataDxfId="8">
      <calculatedColumnFormula>"."&amp;SUBSTITUTE(SUBSTITUTE(SUBSTITUTE(SUBSTITUTE(A4, "(",""),")","")," ",""),"#","")</calculatedColumnFormula>
    </tableColumn>
    <tableColumn id="91" name="no_export.notes" dataDxfId="7"/>
    <tableColumn id="94" name="vba.versatileparas" dataDxfId="6"/>
    <tableColumn id="96" name="vba.bookmakerstyles" dataDxfId="5"/>
    <tableColumn id="92" name="vba.allowedblankparas" dataDxfId="4"/>
    <tableColumn id="95" name="vba.sectionstarts" dataDxfId="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X230"/>
  <sheetViews>
    <sheetView tabSelected="1" topLeftCell="A178" zoomScale="70" zoomScaleNormal="70" workbookViewId="0">
      <pane xSplit="1" topLeftCell="D1" activePane="topRight" state="frozen"/>
      <selection pane="topRight" activeCell="F141" sqref="F141"/>
    </sheetView>
  </sheetViews>
  <sheetFormatPr defaultColWidth="10.58203125" defaultRowHeight="15.5"/>
  <cols>
    <col min="1" max="1" width="33.5" style="24" customWidth="1"/>
    <col min="2" max="2" width="28.58203125" style="7" customWidth="1"/>
    <col min="3" max="3" width="32.5" style="7" customWidth="1"/>
    <col min="4" max="4" width="21.5" style="7" customWidth="1"/>
    <col min="5" max="5" width="32.5" style="7" customWidth="1"/>
    <col min="6" max="6" width="17.58203125" style="7" customWidth="1"/>
    <col min="7" max="7" width="17.08203125" style="7" customWidth="1"/>
    <col min="8" max="8" width="10.08203125" style="7" customWidth="1"/>
    <col min="9" max="9" width="16.08203125" style="7" customWidth="1"/>
    <col min="10" max="10" width="11.58203125" style="7" customWidth="1"/>
    <col min="11" max="11" width="12.58203125" style="7" customWidth="1"/>
    <col min="12" max="12" width="12.5" style="7" customWidth="1"/>
    <col min="13" max="13" width="17.58203125" style="9" bestFit="1" customWidth="1"/>
    <col min="14" max="14" width="17.08203125" style="7" customWidth="1"/>
    <col min="15" max="15" width="17.5" style="7" customWidth="1"/>
    <col min="16" max="16" width="18.5" style="7" customWidth="1"/>
    <col min="17" max="17" width="16.58203125" style="7" customWidth="1"/>
    <col min="18" max="18" width="21" style="7" customWidth="1"/>
    <col min="19" max="19" width="27.08203125" style="7" customWidth="1"/>
    <col min="20" max="20" width="25" style="7" customWidth="1"/>
    <col min="21" max="21" width="27.5" style="7" customWidth="1"/>
    <col min="22" max="22" width="23.08203125" style="7" customWidth="1"/>
    <col min="23" max="23" width="23.5" style="19" customWidth="1"/>
    <col min="24" max="24" width="41.08203125" style="7" customWidth="1"/>
    <col min="25" max="25" width="9" style="7" customWidth="1"/>
    <col min="26" max="26" width="11.58203125" style="7" customWidth="1"/>
    <col min="27" max="27" width="29.08203125" style="7" customWidth="1"/>
    <col min="28" max="28" width="30.58203125" style="7" customWidth="1"/>
    <col min="29" max="29" width="31.08203125" style="7" customWidth="1"/>
    <col min="30" max="30" width="29.58203125" style="7" customWidth="1"/>
    <col min="31" max="31" width="34.58203125" style="7" customWidth="1"/>
    <col min="32" max="32" width="30.58203125" style="7" customWidth="1"/>
    <col min="33" max="33" width="29.08203125" style="7" customWidth="1"/>
    <col min="34" max="34" width="33.5" style="7" customWidth="1"/>
    <col min="35" max="35" width="31.08203125" style="7" customWidth="1"/>
    <col min="36" max="36" width="35.5" style="7" customWidth="1"/>
    <col min="37" max="37" width="33.08203125" style="7" customWidth="1"/>
    <col min="38" max="38" width="15.5" style="7" customWidth="1"/>
    <col min="39" max="39" width="19.08203125" style="9" customWidth="1"/>
    <col min="40" max="40" width="22.5" style="7" customWidth="1"/>
    <col min="41" max="41" width="23.58203125" style="7" customWidth="1"/>
    <col min="42" max="42" width="13.58203125" style="7" customWidth="1"/>
    <col min="43" max="43" width="20" style="9" customWidth="1"/>
    <col min="44" max="44" width="22.5" style="7" customWidth="1"/>
    <col min="45" max="45" width="23.58203125" style="7" customWidth="1"/>
    <col min="46" max="46" width="13.58203125" style="7" customWidth="1"/>
    <col min="47" max="47" width="19.08203125" style="9" customWidth="1"/>
    <col min="48" max="48" width="22.5" style="7" customWidth="1"/>
    <col min="49" max="49" width="23.58203125" style="7" customWidth="1"/>
    <col min="50" max="50" width="13.58203125" style="7" customWidth="1"/>
    <col min="51" max="51" width="19.08203125" style="9" customWidth="1"/>
    <col min="52" max="52" width="22.5" style="7" customWidth="1"/>
    <col min="53" max="53" width="23.58203125" style="7" customWidth="1"/>
    <col min="54" max="54" width="27.08203125" style="7" customWidth="1"/>
    <col min="55" max="55" width="28.5" style="7" customWidth="1"/>
    <col min="56" max="56" width="27.08203125" style="7" customWidth="1"/>
    <col min="57" max="57" width="30.5" style="7" customWidth="1"/>
    <col min="58" max="58" width="49.58203125" style="9" customWidth="1"/>
    <col min="59" max="59" width="27.08203125" style="9" customWidth="1"/>
    <col min="60" max="60" width="26.5" style="7" customWidth="1"/>
    <col min="61" max="61" width="27.58203125" style="7" customWidth="1"/>
    <col min="62" max="62" width="38.08203125" style="9" customWidth="1"/>
    <col min="63" max="63" width="20.08203125" style="7" customWidth="1"/>
    <col min="64" max="64" width="18.58203125" style="7" customWidth="1"/>
    <col min="65" max="65" width="14" style="7" customWidth="1"/>
    <col min="66" max="66" width="16.5" style="7" customWidth="1"/>
    <col min="67" max="67" width="27.08203125" style="7" customWidth="1"/>
    <col min="68" max="68" width="27" style="7" customWidth="1"/>
    <col min="69" max="69" width="27.58203125" style="7" customWidth="1"/>
    <col min="70" max="70" width="19.58203125" style="7" customWidth="1"/>
    <col min="71" max="71" width="17.58203125" style="7" customWidth="1"/>
    <col min="72" max="72" width="20.58203125" style="7" customWidth="1"/>
    <col min="73" max="73" width="19.58203125" style="7" customWidth="1"/>
    <col min="74" max="74" width="21.5" style="7" customWidth="1"/>
    <col min="75" max="75" width="19.08203125" style="7" customWidth="1"/>
    <col min="76" max="76" width="24.58203125" style="7" customWidth="1"/>
    <col min="77" max="77" width="26.58203125" style="7" customWidth="1"/>
    <col min="78" max="78" width="23.08203125" style="7" customWidth="1"/>
    <col min="79" max="79" width="20.58203125" style="7" customWidth="1"/>
    <col min="80" max="80" width="20.08203125" style="7" customWidth="1"/>
    <col min="81" max="81" width="25.58203125" style="7" customWidth="1"/>
    <col min="82" max="82" width="30.08203125" style="7" customWidth="1"/>
    <col min="83" max="83" width="23.08203125" style="7" customWidth="1"/>
    <col min="84" max="84" width="28.58203125" style="7" customWidth="1"/>
    <col min="85" max="85" width="26.5" style="7" customWidth="1"/>
    <col min="86" max="86" width="28.08203125" style="7" customWidth="1"/>
    <col min="87" max="87" width="26.5" style="7" customWidth="1"/>
    <col min="88" max="88" width="24.83203125" style="7" customWidth="1"/>
    <col min="89" max="89" width="22.83203125" style="7" customWidth="1"/>
    <col min="90" max="90" width="26.08203125" style="7" customWidth="1"/>
    <col min="91" max="91" width="17.58203125" style="7" customWidth="1"/>
    <col min="92" max="92" width="26" style="7" customWidth="1"/>
    <col min="93" max="93" width="25.08203125" style="7" customWidth="1"/>
    <col min="94" max="95" width="25.58203125" style="7" customWidth="1"/>
    <col min="96" max="96" width="26.08203125" style="7" customWidth="1"/>
    <col min="97" max="97" width="34.08203125" style="7" customWidth="1"/>
    <col min="98" max="98" width="21.08203125" style="7" customWidth="1"/>
    <col min="99" max="101" width="22.58203125" style="7" customWidth="1"/>
    <col min="102" max="102" width="17" style="7" customWidth="1"/>
    <col min="103" max="16384" width="10.58203125" style="7"/>
  </cols>
  <sheetData>
    <row r="1" spans="1:102" s="3" customFormat="1" ht="27" customHeight="1">
      <c r="A1" s="10" t="s">
        <v>84</v>
      </c>
      <c r="B1" s="62" t="s">
        <v>77</v>
      </c>
      <c r="C1" s="63"/>
      <c r="D1" s="64"/>
      <c r="E1" s="65" t="s">
        <v>78</v>
      </c>
      <c r="F1" s="65"/>
      <c r="G1" s="65"/>
      <c r="H1" s="65"/>
      <c r="I1" s="66" t="s">
        <v>79</v>
      </c>
      <c r="J1" s="67"/>
      <c r="K1" s="67"/>
      <c r="L1" s="67"/>
      <c r="M1" s="67"/>
      <c r="N1" s="67"/>
      <c r="O1" s="67"/>
      <c r="P1" s="67"/>
      <c r="Q1" s="67"/>
      <c r="R1" s="68"/>
      <c r="S1" s="69" t="s">
        <v>80</v>
      </c>
      <c r="T1" s="69"/>
      <c r="U1" s="69"/>
      <c r="V1" s="69"/>
      <c r="W1" s="69"/>
      <c r="X1" s="72" t="s">
        <v>81</v>
      </c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4"/>
      <c r="AL1" s="11" t="s">
        <v>82</v>
      </c>
      <c r="AM1" s="12"/>
      <c r="AN1" s="11"/>
      <c r="AO1" s="11"/>
      <c r="AP1" s="11"/>
      <c r="AQ1" s="12"/>
      <c r="AR1" s="11"/>
      <c r="AS1" s="11"/>
      <c r="AT1" s="11"/>
      <c r="AU1" s="12"/>
      <c r="AV1" s="11"/>
      <c r="AW1" s="11"/>
      <c r="AX1" s="11"/>
      <c r="AY1" s="12"/>
      <c r="AZ1" s="11"/>
      <c r="BA1" s="11"/>
      <c r="BB1" s="11"/>
      <c r="BC1" s="11"/>
      <c r="BD1" s="11"/>
      <c r="BE1" s="11"/>
      <c r="BF1" s="13"/>
      <c r="BG1" s="80" t="s">
        <v>83</v>
      </c>
      <c r="BH1" s="81"/>
      <c r="BI1" s="81"/>
      <c r="BJ1" s="82"/>
      <c r="BK1" s="83" t="s">
        <v>89</v>
      </c>
      <c r="BL1" s="84"/>
      <c r="BM1" s="84"/>
      <c r="BN1" s="62" t="s">
        <v>294</v>
      </c>
      <c r="BO1" s="78"/>
      <c r="BP1" s="7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78"/>
      <c r="CJ1" s="78"/>
      <c r="CK1" s="78"/>
      <c r="CL1" s="78"/>
      <c r="CM1" s="78"/>
      <c r="CN1" s="78"/>
      <c r="CO1" s="78"/>
      <c r="CP1" s="78"/>
      <c r="CQ1" s="78"/>
      <c r="CR1" s="78"/>
      <c r="CS1" s="78"/>
      <c r="CT1" s="79"/>
      <c r="CU1" s="75" t="s">
        <v>323</v>
      </c>
      <c r="CV1" s="76"/>
      <c r="CW1" s="76"/>
      <c r="CX1" s="77"/>
    </row>
    <row r="2" spans="1:102" s="4" customFormat="1" ht="93">
      <c r="A2" s="21" t="s">
        <v>207</v>
      </c>
      <c r="B2" s="20" t="s">
        <v>209</v>
      </c>
      <c r="C2" s="60" t="s">
        <v>335</v>
      </c>
      <c r="D2" s="61"/>
      <c r="E2" s="15" t="s">
        <v>95</v>
      </c>
      <c r="F2" s="21" t="s">
        <v>211</v>
      </c>
      <c r="G2" s="21" t="s">
        <v>210</v>
      </c>
      <c r="H2" s="15" t="s">
        <v>428</v>
      </c>
      <c r="I2" s="21"/>
      <c r="J2" s="15" t="s">
        <v>90</v>
      </c>
      <c r="K2" s="15" t="s">
        <v>57</v>
      </c>
      <c r="L2" s="15" t="s">
        <v>57</v>
      </c>
      <c r="M2" s="16" t="s">
        <v>96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70" t="s">
        <v>200</v>
      </c>
      <c r="T2" s="70"/>
      <c r="U2" s="70"/>
      <c r="V2" s="70"/>
      <c r="W2" s="71"/>
      <c r="X2" s="15" t="s">
        <v>57</v>
      </c>
      <c r="Y2" s="15" t="s">
        <v>57</v>
      </c>
      <c r="Z2" s="15" t="s">
        <v>57</v>
      </c>
      <c r="AA2" s="15" t="s">
        <v>58</v>
      </c>
      <c r="AB2" s="15" t="s">
        <v>58</v>
      </c>
      <c r="AC2" s="15" t="s">
        <v>58</v>
      </c>
      <c r="AD2" s="15" t="s">
        <v>58</v>
      </c>
      <c r="AE2" s="14" t="s">
        <v>94</v>
      </c>
      <c r="AF2" s="15" t="s">
        <v>58</v>
      </c>
      <c r="AG2" s="14" t="s">
        <v>92</v>
      </c>
      <c r="AH2" s="15" t="s">
        <v>58</v>
      </c>
      <c r="AI2" s="15" t="s">
        <v>93</v>
      </c>
      <c r="AJ2" s="15" t="s">
        <v>57</v>
      </c>
      <c r="AK2" s="15" t="s">
        <v>57</v>
      </c>
      <c r="AL2" s="15" t="s">
        <v>62</v>
      </c>
      <c r="AM2" s="16" t="s">
        <v>96</v>
      </c>
      <c r="AN2" s="14" t="s">
        <v>91</v>
      </c>
      <c r="AO2" s="14" t="s">
        <v>61</v>
      </c>
      <c r="AP2" s="15" t="s">
        <v>57</v>
      </c>
      <c r="AQ2" s="16" t="s">
        <v>96</v>
      </c>
      <c r="AR2" s="15" t="s">
        <v>63</v>
      </c>
      <c r="AS2" s="14" t="s">
        <v>61</v>
      </c>
      <c r="AT2" s="17" t="s">
        <v>64</v>
      </c>
      <c r="AU2" s="16" t="s">
        <v>96</v>
      </c>
      <c r="AV2" s="14" t="s">
        <v>91</v>
      </c>
      <c r="AW2" s="14" t="s">
        <v>61</v>
      </c>
      <c r="AX2" s="17" t="s">
        <v>65</v>
      </c>
      <c r="AY2" s="16" t="s">
        <v>96</v>
      </c>
      <c r="AZ2" s="14" t="s">
        <v>91</v>
      </c>
      <c r="BA2" s="14" t="s">
        <v>61</v>
      </c>
      <c r="BB2" s="15" t="s">
        <v>85</v>
      </c>
      <c r="BC2" s="15" t="s">
        <v>86</v>
      </c>
      <c r="BD2" s="15" t="s">
        <v>87</v>
      </c>
      <c r="BE2" s="15" t="s">
        <v>88</v>
      </c>
      <c r="BF2" s="16" t="s">
        <v>97</v>
      </c>
      <c r="BG2" s="16" t="s">
        <v>96</v>
      </c>
      <c r="BH2" s="14" t="s">
        <v>91</v>
      </c>
      <c r="BI2" s="14" t="s">
        <v>61</v>
      </c>
      <c r="BJ2" s="16" t="s">
        <v>96</v>
      </c>
      <c r="BK2" s="15" t="s">
        <v>56</v>
      </c>
      <c r="BL2" s="15" t="s">
        <v>60</v>
      </c>
      <c r="BM2" s="15" t="s">
        <v>59</v>
      </c>
      <c r="BN2" s="27" t="s">
        <v>242</v>
      </c>
      <c r="BO2" s="27" t="s">
        <v>243</v>
      </c>
      <c r="BP2" s="27" t="s">
        <v>244</v>
      </c>
      <c r="BQ2" s="27" t="s">
        <v>245</v>
      </c>
      <c r="BR2" s="27" t="s">
        <v>246</v>
      </c>
      <c r="BS2" s="27" t="s">
        <v>284</v>
      </c>
      <c r="BT2" s="27" t="s">
        <v>285</v>
      </c>
      <c r="BU2" s="27" t="s">
        <v>286</v>
      </c>
      <c r="BV2" s="27" t="s">
        <v>287</v>
      </c>
      <c r="BW2" s="27" t="s">
        <v>288</v>
      </c>
      <c r="BX2" s="27" t="s">
        <v>731</v>
      </c>
      <c r="BY2" s="27" t="s">
        <v>719</v>
      </c>
      <c r="BZ2" s="27" t="s">
        <v>289</v>
      </c>
      <c r="CA2" s="27" t="s">
        <v>290</v>
      </c>
      <c r="CB2" s="27" t="s">
        <v>291</v>
      </c>
      <c r="CC2" s="27" t="s">
        <v>292</v>
      </c>
      <c r="CD2" s="27" t="s">
        <v>734</v>
      </c>
      <c r="CE2" s="27" t="s">
        <v>736</v>
      </c>
      <c r="CF2" s="27" t="s">
        <v>737</v>
      </c>
      <c r="CG2" s="27" t="s">
        <v>738</v>
      </c>
      <c r="CH2" s="27" t="s">
        <v>742</v>
      </c>
      <c r="CI2" s="27" t="s">
        <v>741</v>
      </c>
      <c r="CJ2" s="27" t="s">
        <v>746</v>
      </c>
      <c r="CK2" s="27" t="s">
        <v>334</v>
      </c>
      <c r="CL2" s="27" t="s">
        <v>333</v>
      </c>
      <c r="CM2" s="27" t="s">
        <v>293</v>
      </c>
      <c r="CN2" s="27" t="s">
        <v>295</v>
      </c>
      <c r="CO2" s="27" t="s">
        <v>250</v>
      </c>
      <c r="CP2" s="27" t="s">
        <v>307</v>
      </c>
      <c r="CQ2" s="27" t="s">
        <v>748</v>
      </c>
      <c r="CR2" s="27" t="s">
        <v>267</v>
      </c>
      <c r="CS2" s="27" t="s">
        <v>247</v>
      </c>
      <c r="CT2" s="27" t="s">
        <v>248</v>
      </c>
      <c r="CU2" s="33" t="s">
        <v>324</v>
      </c>
      <c r="CV2" s="35"/>
      <c r="CW2" s="35"/>
      <c r="CX2" s="34" t="s">
        <v>326</v>
      </c>
    </row>
    <row r="3" spans="1:102" s="18" customFormat="1" ht="17">
      <c r="A3" s="28" t="s">
        <v>321</v>
      </c>
      <c r="B3" s="28" t="s">
        <v>208</v>
      </c>
      <c r="C3" s="28" t="s">
        <v>202</v>
      </c>
      <c r="D3" s="28" t="s">
        <v>201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101</v>
      </c>
      <c r="T3" s="28" t="s">
        <v>98</v>
      </c>
      <c r="U3" s="28" t="s">
        <v>99</v>
      </c>
      <c r="V3" s="28" t="s">
        <v>100</v>
      </c>
      <c r="W3" s="30" t="s">
        <v>20</v>
      </c>
      <c r="X3" s="28" t="s">
        <v>21</v>
      </c>
      <c r="Y3" s="28" t="s">
        <v>22</v>
      </c>
      <c r="Z3" s="28" t="s">
        <v>23</v>
      </c>
      <c r="AA3" s="28" t="s">
        <v>24</v>
      </c>
      <c r="AB3" s="28" t="s">
        <v>25</v>
      </c>
      <c r="AC3" s="28" t="s">
        <v>26</v>
      </c>
      <c r="AD3" s="28" t="s">
        <v>27</v>
      </c>
      <c r="AE3" s="28" t="s">
        <v>28</v>
      </c>
      <c r="AF3" s="28" t="s">
        <v>29</v>
      </c>
      <c r="AG3" s="28" t="s">
        <v>30</v>
      </c>
      <c r="AH3" s="28" t="s">
        <v>31</v>
      </c>
      <c r="AI3" s="28" t="s">
        <v>32</v>
      </c>
      <c r="AJ3" s="28" t="s">
        <v>33</v>
      </c>
      <c r="AK3" s="28" t="s">
        <v>34</v>
      </c>
      <c r="AL3" s="28" t="s">
        <v>35</v>
      </c>
      <c r="AM3" s="29" t="s">
        <v>36</v>
      </c>
      <c r="AN3" s="28" t="s">
        <v>37</v>
      </c>
      <c r="AO3" s="28" t="s">
        <v>38</v>
      </c>
      <c r="AP3" s="28" t="s">
        <v>39</v>
      </c>
      <c r="AQ3" s="29" t="s">
        <v>40</v>
      </c>
      <c r="AR3" s="28" t="s">
        <v>41</v>
      </c>
      <c r="AS3" s="28" t="s">
        <v>42</v>
      </c>
      <c r="AT3" s="28" t="s">
        <v>43</v>
      </c>
      <c r="AU3" s="29" t="s">
        <v>44</v>
      </c>
      <c r="AV3" s="28" t="s">
        <v>45</v>
      </c>
      <c r="AW3" s="28" t="s">
        <v>46</v>
      </c>
      <c r="AX3" s="28" t="s">
        <v>47</v>
      </c>
      <c r="AY3" s="29" t="s">
        <v>48</v>
      </c>
      <c r="AZ3" s="28" t="s">
        <v>49</v>
      </c>
      <c r="BA3" s="28" t="s">
        <v>50</v>
      </c>
      <c r="BB3" s="28" t="s">
        <v>51</v>
      </c>
      <c r="BC3" s="28" t="s">
        <v>52</v>
      </c>
      <c r="BD3" s="28" t="s">
        <v>53</v>
      </c>
      <c r="BE3" s="28" t="s">
        <v>54</v>
      </c>
      <c r="BF3" s="29" t="s">
        <v>55</v>
      </c>
      <c r="BG3" s="29" t="s">
        <v>73</v>
      </c>
      <c r="BH3" s="28" t="s">
        <v>74</v>
      </c>
      <c r="BI3" s="28" t="s">
        <v>75</v>
      </c>
      <c r="BJ3" s="29" t="s">
        <v>76</v>
      </c>
      <c r="BK3" s="29" t="s">
        <v>3</v>
      </c>
      <c r="BL3" s="28" t="s">
        <v>4</v>
      </c>
      <c r="BM3" s="28" t="s">
        <v>6</v>
      </c>
      <c r="BN3" s="28" t="s">
        <v>299</v>
      </c>
      <c r="BO3" s="28" t="s">
        <v>300</v>
      </c>
      <c r="BP3" s="28" t="s">
        <v>301</v>
      </c>
      <c r="BQ3" s="28" t="s">
        <v>302</v>
      </c>
      <c r="BR3" s="28" t="s">
        <v>303</v>
      </c>
      <c r="BS3" s="28" t="s">
        <v>275</v>
      </c>
      <c r="BT3" s="28" t="s">
        <v>276</v>
      </c>
      <c r="BU3" s="28" t="s">
        <v>277</v>
      </c>
      <c r="BV3" s="28" t="s">
        <v>278</v>
      </c>
      <c r="BW3" s="28" t="s">
        <v>732</v>
      </c>
      <c r="BX3" s="28" t="s">
        <v>721</v>
      </c>
      <c r="BY3" s="28" t="s">
        <v>718</v>
      </c>
      <c r="BZ3" s="28" t="s">
        <v>279</v>
      </c>
      <c r="CA3" s="28" t="s">
        <v>280</v>
      </c>
      <c r="CB3" s="28" t="s">
        <v>281</v>
      </c>
      <c r="CC3" s="28" t="s">
        <v>282</v>
      </c>
      <c r="CD3" s="28" t="s">
        <v>733</v>
      </c>
      <c r="CE3" s="28" t="s">
        <v>735</v>
      </c>
      <c r="CF3" s="28" t="s">
        <v>739</v>
      </c>
      <c r="CG3" s="28" t="s">
        <v>740</v>
      </c>
      <c r="CH3" s="28" t="s">
        <v>744</v>
      </c>
      <c r="CI3" s="28" t="s">
        <v>743</v>
      </c>
      <c r="CJ3" s="28" t="s">
        <v>745</v>
      </c>
      <c r="CK3" s="28" t="s">
        <v>331</v>
      </c>
      <c r="CL3" s="28" t="s">
        <v>332</v>
      </c>
      <c r="CM3" s="28" t="s">
        <v>283</v>
      </c>
      <c r="CN3" s="28" t="s">
        <v>296</v>
      </c>
      <c r="CO3" s="28" t="s">
        <v>304</v>
      </c>
      <c r="CP3" s="28" t="s">
        <v>306</v>
      </c>
      <c r="CQ3" s="28" t="s">
        <v>747</v>
      </c>
      <c r="CR3" s="28" t="s">
        <v>305</v>
      </c>
      <c r="CS3" s="28" t="s">
        <v>297</v>
      </c>
      <c r="CT3" s="28" t="s">
        <v>298</v>
      </c>
      <c r="CU3" s="32" t="s">
        <v>322</v>
      </c>
      <c r="CV3" s="32" t="s">
        <v>328</v>
      </c>
      <c r="CW3" s="32" t="s">
        <v>327</v>
      </c>
      <c r="CX3" s="32" t="s">
        <v>325</v>
      </c>
    </row>
    <row r="4" spans="1:102">
      <c r="A4" s="38" t="str">
        <f t="shared" ref="A4:A101" si="0">IF($D4="","",TRIM($C4)&amp;" "&amp;CHAR(40)&amp;TRIM($D4)&amp;CHAR(41))</f>
        <v>Section-Book (BOOK)</v>
      </c>
      <c r="B4" s="5"/>
      <c r="C4" s="5" t="s">
        <v>688</v>
      </c>
      <c r="D4" s="6" t="s">
        <v>687</v>
      </c>
      <c r="E4" s="7" t="s">
        <v>430</v>
      </c>
      <c r="F4" s="5">
        <v>8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8" t="s">
        <v>697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7" t="b">
        <v>0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0</v>
      </c>
      <c r="AQ4" s="25" t="s">
        <v>241</v>
      </c>
      <c r="AR4" s="5">
        <v>1</v>
      </c>
      <c r="AS4" s="7">
        <v>36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9" t="s">
        <v>66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M4" s="7" t="b">
        <v>1</v>
      </c>
      <c r="CS4" s="24" t="str">
        <f t="shared" ref="CS4" si="1">"."&amp;SUBSTITUTE(SUBSTITUTE(SUBSTITUTE(SUBSTITUTE(A4, "(",""),")","")," ",""),"#","")</f>
        <v>.Section-BookBOOK</v>
      </c>
      <c r="CV4" s="7" t="b">
        <v>1</v>
      </c>
      <c r="CW4" s="7" t="b">
        <v>1</v>
      </c>
      <c r="CX4" s="7" t="b">
        <v>1</v>
      </c>
    </row>
    <row r="5" spans="1:102">
      <c r="A5" s="38" t="str">
        <f t="shared" si="0"/>
        <v>Section-Front-Sales (SFS)</v>
      </c>
      <c r="B5" s="5"/>
      <c r="C5" s="5" t="s">
        <v>239</v>
      </c>
      <c r="D5" s="6" t="s">
        <v>638</v>
      </c>
      <c r="E5" s="5" t="s">
        <v>668</v>
      </c>
      <c r="F5" s="5">
        <v>8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25" t="s">
        <v>241</v>
      </c>
      <c r="AR5" s="5">
        <v>1</v>
      </c>
      <c r="AS5" s="7">
        <v>36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9" t="s">
        <v>669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O5" s="7" t="s">
        <v>251</v>
      </c>
      <c r="CP5" s="7" t="s">
        <v>308</v>
      </c>
      <c r="CQ5" s="7" t="b">
        <v>1</v>
      </c>
      <c r="CR5" s="7" t="s">
        <v>268</v>
      </c>
      <c r="CS5" s="24" t="str">
        <f t="shared" ref="CS5:CS36" si="2">"."&amp;SUBSTITUTE(SUBSTITUTE(SUBSTITUTE(SUBSTITUTE(A5, "(",""),")","")," ",""),"#","")</f>
        <v>.Section-Front-SalesSFS</v>
      </c>
      <c r="CV5" s="7" t="b">
        <v>1</v>
      </c>
      <c r="CW5" s="7" t="b">
        <v>1</v>
      </c>
      <c r="CX5" s="7" t="b">
        <v>1</v>
      </c>
    </row>
    <row r="6" spans="1:102">
      <c r="A6" s="38" t="str">
        <f t="shared" si="0"/>
        <v>Section-Halftitle (SHT)</v>
      </c>
      <c r="B6" s="5"/>
      <c r="C6" s="5" t="s">
        <v>213</v>
      </c>
      <c r="D6" s="6" t="s">
        <v>639</v>
      </c>
      <c r="E6" s="5" t="s">
        <v>668</v>
      </c>
      <c r="F6" s="5">
        <v>8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66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25" t="s">
        <v>241</v>
      </c>
      <c r="AR6" s="5">
        <v>1</v>
      </c>
      <c r="AS6" s="7">
        <v>36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49" t="s">
        <v>669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O6" s="7" t="s">
        <v>252</v>
      </c>
      <c r="CP6" s="7" t="s">
        <v>309</v>
      </c>
      <c r="CQ6" s="7" t="b">
        <v>1</v>
      </c>
      <c r="CS6" s="24" t="str">
        <f t="shared" si="2"/>
        <v>.Section-HalftitleSHT</v>
      </c>
      <c r="CV6" s="7" t="b">
        <v>1</v>
      </c>
      <c r="CW6" s="7" t="b">
        <v>1</v>
      </c>
      <c r="CX6" s="7" t="b">
        <v>1</v>
      </c>
    </row>
    <row r="7" spans="1:102">
      <c r="A7" s="38" t="str">
        <f t="shared" si="0"/>
        <v>Section-Ad-Card (SAC)</v>
      </c>
      <c r="B7" s="5"/>
      <c r="C7" s="5" t="s">
        <v>212</v>
      </c>
      <c r="D7" s="6" t="s">
        <v>640</v>
      </c>
      <c r="E7" s="5" t="s">
        <v>667</v>
      </c>
      <c r="F7" s="5">
        <v>8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25" t="s">
        <v>241</v>
      </c>
      <c r="AR7" s="5">
        <v>1</v>
      </c>
      <c r="AS7" s="7">
        <v>36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9" t="s">
        <v>669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O7" s="7" t="s">
        <v>251</v>
      </c>
      <c r="CP7" s="7" t="s">
        <v>311</v>
      </c>
      <c r="CQ7" s="7" t="b">
        <v>1</v>
      </c>
      <c r="CR7" s="7" t="s">
        <v>270</v>
      </c>
      <c r="CS7" s="24" t="str">
        <f t="shared" si="2"/>
        <v>.Section-Ad-CardSAC</v>
      </c>
      <c r="CV7" s="7" t="b">
        <v>1</v>
      </c>
      <c r="CW7" s="7" t="b">
        <v>1</v>
      </c>
      <c r="CX7" s="7" t="b">
        <v>1</v>
      </c>
    </row>
    <row r="8" spans="1:102">
      <c r="A8" s="38" t="str">
        <f t="shared" si="0"/>
        <v>Section-Series-Page (SSP)</v>
      </c>
      <c r="B8" s="5"/>
      <c r="C8" s="5" t="s">
        <v>240</v>
      </c>
      <c r="D8" s="6" t="s">
        <v>641</v>
      </c>
      <c r="E8" s="5" t="s">
        <v>667</v>
      </c>
      <c r="F8" s="5">
        <v>8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25" t="s">
        <v>241</v>
      </c>
      <c r="AR8" s="5">
        <v>1</v>
      </c>
      <c r="AS8" s="7">
        <v>36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9" t="s">
        <v>669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O8" s="7" t="s">
        <v>251</v>
      </c>
      <c r="CP8" s="7" t="s">
        <v>310</v>
      </c>
      <c r="CQ8" s="7" t="b">
        <v>1</v>
      </c>
      <c r="CR8" s="7" t="s">
        <v>269</v>
      </c>
      <c r="CS8" s="24" t="str">
        <f t="shared" si="2"/>
        <v>.Section-Series-PageSSP</v>
      </c>
      <c r="CV8" s="7" t="b">
        <v>1</v>
      </c>
      <c r="CW8" s="7" t="b">
        <v>1</v>
      </c>
      <c r="CX8" s="7" t="b">
        <v>1</v>
      </c>
    </row>
    <row r="9" spans="1:102">
      <c r="A9" s="38" t="str">
        <f t="shared" si="0"/>
        <v>Section-Titlepage (STI)</v>
      </c>
      <c r="B9" s="5"/>
      <c r="C9" s="5" t="s">
        <v>214</v>
      </c>
      <c r="D9" s="6" t="s">
        <v>642</v>
      </c>
      <c r="E9" s="5" t="s">
        <v>668</v>
      </c>
      <c r="F9" s="5">
        <v>8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25" t="s">
        <v>241</v>
      </c>
      <c r="AR9" s="5">
        <v>1</v>
      </c>
      <c r="AS9" s="7">
        <v>36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49" t="s">
        <v>669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O9" s="7" t="s">
        <v>253</v>
      </c>
      <c r="CP9" s="7" t="s">
        <v>312</v>
      </c>
      <c r="CQ9" s="7" t="b">
        <v>1</v>
      </c>
      <c r="CS9" s="24" t="str">
        <f t="shared" si="2"/>
        <v>.Section-TitlepageSTI</v>
      </c>
      <c r="CV9" s="7" t="b">
        <v>1</v>
      </c>
      <c r="CW9" s="7" t="b">
        <v>1</v>
      </c>
      <c r="CX9" s="7" t="b">
        <v>1</v>
      </c>
    </row>
    <row r="10" spans="1:102">
      <c r="A10" s="38" t="str">
        <f t="shared" si="0"/>
        <v>Section-Copyright (SCR)</v>
      </c>
      <c r="B10" s="5"/>
      <c r="C10" s="5" t="s">
        <v>219</v>
      </c>
      <c r="D10" s="6" t="s">
        <v>643</v>
      </c>
      <c r="E10" s="5" t="s">
        <v>430</v>
      </c>
      <c r="F10" s="5">
        <v>8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25" t="s">
        <v>241</v>
      </c>
      <c r="AR10" s="5">
        <v>1</v>
      </c>
      <c r="AS10" s="7">
        <v>36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49" t="s">
        <v>669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O10" s="7" t="s">
        <v>254</v>
      </c>
      <c r="CP10" s="7" t="s">
        <v>313</v>
      </c>
      <c r="CQ10" s="7" t="b">
        <v>1</v>
      </c>
      <c r="CS10" s="24" t="str">
        <f t="shared" si="2"/>
        <v>.Section-CopyrightSCR</v>
      </c>
      <c r="CV10" s="7" t="b">
        <v>1</v>
      </c>
      <c r="CW10" s="7" t="b">
        <v>1</v>
      </c>
      <c r="CX10" s="7" t="b">
        <v>1</v>
      </c>
    </row>
    <row r="11" spans="1:102">
      <c r="A11" s="38" t="str">
        <f t="shared" si="0"/>
        <v>Section-Ebook-Copyright (SECR)</v>
      </c>
      <c r="B11" s="5"/>
      <c r="C11" s="5" t="s">
        <v>431</v>
      </c>
      <c r="D11" s="6" t="s">
        <v>644</v>
      </c>
      <c r="E11" s="5" t="s">
        <v>430</v>
      </c>
      <c r="F11" s="5">
        <v>8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59" t="s">
        <v>751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25" t="s">
        <v>241</v>
      </c>
      <c r="AR11" s="5">
        <v>1</v>
      </c>
      <c r="AS11" s="7">
        <v>36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52" t="s">
        <v>670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O11" s="7" t="s">
        <v>254</v>
      </c>
      <c r="CP11" s="7" t="s">
        <v>313</v>
      </c>
      <c r="CQ11" s="7" t="b">
        <v>1</v>
      </c>
      <c r="CS11" s="24" t="str">
        <f t="shared" ref="CS11" si="3">"."&amp;SUBSTITUTE(SUBSTITUTE(SUBSTITUTE(SUBSTITUTE(A11, "(",""),")","")," ",""),"#","")</f>
        <v>.Section-Ebook-CopyrightSECR</v>
      </c>
      <c r="CV11" s="7" t="b">
        <v>1</v>
      </c>
      <c r="CW11" s="7" t="b">
        <v>1</v>
      </c>
      <c r="CX11" s="7" t="b">
        <v>1</v>
      </c>
    </row>
    <row r="12" spans="1:102" ht="14.15" customHeight="1">
      <c r="A12" s="38" t="str">
        <f t="shared" si="0"/>
        <v>Section-Dedication (SDE)</v>
      </c>
      <c r="B12" s="5"/>
      <c r="C12" s="5" t="s">
        <v>220</v>
      </c>
      <c r="D12" s="6" t="s">
        <v>645</v>
      </c>
      <c r="E12" s="5" t="s">
        <v>429</v>
      </c>
      <c r="F12" s="5">
        <v>8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25" t="s">
        <v>241</v>
      </c>
      <c r="AR12" s="5">
        <v>1</v>
      </c>
      <c r="AS12" s="7">
        <v>36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49" t="s">
        <v>669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O12" s="7" t="s">
        <v>255</v>
      </c>
      <c r="CP12" s="7" t="s">
        <v>205</v>
      </c>
      <c r="CQ12" s="7" t="b">
        <v>1</v>
      </c>
      <c r="CS12" s="24" t="str">
        <f t="shared" si="2"/>
        <v>.Section-DedicationSDE</v>
      </c>
      <c r="CV12" s="7" t="b">
        <v>1</v>
      </c>
      <c r="CW12" s="7" t="b">
        <v>1</v>
      </c>
      <c r="CX12" s="7" t="b">
        <v>1</v>
      </c>
    </row>
    <row r="13" spans="1:102">
      <c r="A13" s="38" t="str">
        <f t="shared" si="0"/>
        <v>Section-Epigraph (SEP)</v>
      </c>
      <c r="B13" s="5"/>
      <c r="C13" s="5" t="s">
        <v>221</v>
      </c>
      <c r="D13" s="6" t="s">
        <v>646</v>
      </c>
      <c r="E13" s="5" t="s">
        <v>430</v>
      </c>
      <c r="F13" s="5">
        <v>8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25" t="s">
        <v>241</v>
      </c>
      <c r="AR13" s="5">
        <v>1</v>
      </c>
      <c r="AS13" s="7">
        <v>36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49" t="s">
        <v>669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O13" s="7" t="s">
        <v>251</v>
      </c>
      <c r="CP13" s="7" t="s">
        <v>314</v>
      </c>
      <c r="CQ13" s="7" t="b">
        <v>1</v>
      </c>
      <c r="CR13" s="7" t="s">
        <v>249</v>
      </c>
      <c r="CS13" s="24" t="str">
        <f t="shared" si="2"/>
        <v>.Section-EpigraphSEP</v>
      </c>
      <c r="CV13" s="7" t="b">
        <v>1</v>
      </c>
      <c r="CW13" s="7" t="b">
        <v>1</v>
      </c>
      <c r="CX13" s="7" t="b">
        <v>1</v>
      </c>
    </row>
    <row r="14" spans="1:102">
      <c r="A14" s="38" t="str">
        <f t="shared" si="0"/>
        <v>Section-Contents (STC)</v>
      </c>
      <c r="B14" s="5"/>
      <c r="C14" s="5" t="s">
        <v>222</v>
      </c>
      <c r="D14" s="6" t="s">
        <v>647</v>
      </c>
      <c r="E14" s="5" t="s">
        <v>667</v>
      </c>
      <c r="F14" s="5">
        <v>8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25" t="s">
        <v>241</v>
      </c>
      <c r="AR14" s="5">
        <v>1</v>
      </c>
      <c r="AS14" s="7">
        <v>36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49" t="s">
        <v>669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O14" s="7" t="s">
        <v>251</v>
      </c>
      <c r="CP14" s="7" t="s">
        <v>315</v>
      </c>
      <c r="CQ14" s="7" t="b">
        <v>1</v>
      </c>
      <c r="CR14" s="7" t="s">
        <v>330</v>
      </c>
      <c r="CS14" s="24" t="str">
        <f t="shared" si="2"/>
        <v>.Section-ContentsSTC</v>
      </c>
      <c r="CV14" s="7" t="b">
        <v>1</v>
      </c>
      <c r="CW14" s="7" t="b">
        <v>1</v>
      </c>
      <c r="CX14" s="7" t="b">
        <v>1</v>
      </c>
    </row>
    <row r="15" spans="1:102">
      <c r="A15" s="38" t="str">
        <f t="shared" si="0"/>
        <v>Section-Foreword (SFW)</v>
      </c>
      <c r="B15" s="5"/>
      <c r="C15" s="5" t="s">
        <v>224</v>
      </c>
      <c r="D15" s="6" t="s">
        <v>648</v>
      </c>
      <c r="E15" s="5" t="s">
        <v>667</v>
      </c>
      <c r="F15" s="5">
        <v>8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25" t="s">
        <v>241</v>
      </c>
      <c r="AR15" s="5">
        <v>1</v>
      </c>
      <c r="AS15" s="7">
        <v>36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49" t="s">
        <v>669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O15" s="7" t="s">
        <v>256</v>
      </c>
      <c r="CS15" s="24" t="str">
        <f t="shared" si="2"/>
        <v>.Section-ForewordSFW</v>
      </c>
      <c r="CV15" s="7" t="b">
        <v>1</v>
      </c>
      <c r="CW15" s="7" t="b">
        <v>1</v>
      </c>
      <c r="CX15" s="7" t="b">
        <v>1</v>
      </c>
    </row>
    <row r="16" spans="1:102">
      <c r="A16" s="38" t="str">
        <f t="shared" si="0"/>
        <v>Section-Preface (SPF)</v>
      </c>
      <c r="B16" s="5"/>
      <c r="C16" s="5" t="s">
        <v>223</v>
      </c>
      <c r="D16" s="6" t="s">
        <v>649</v>
      </c>
      <c r="E16" s="5" t="s">
        <v>667</v>
      </c>
      <c r="F16" s="5">
        <v>8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25" t="s">
        <v>241</v>
      </c>
      <c r="AR16" s="5">
        <v>1</v>
      </c>
      <c r="AS16" s="7">
        <v>36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49" t="s">
        <v>669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O16" s="7" t="s">
        <v>251</v>
      </c>
      <c r="CS16" s="24" t="str">
        <f t="shared" si="2"/>
        <v>.Section-PrefaceSPF</v>
      </c>
      <c r="CV16" s="7" t="b">
        <v>1</v>
      </c>
      <c r="CW16" s="7" t="b">
        <v>1</v>
      </c>
      <c r="CX16" s="7" t="b">
        <v>1</v>
      </c>
    </row>
    <row r="17" spans="1:102">
      <c r="A17" s="38" t="str">
        <f t="shared" si="0"/>
        <v>Section-Front-Matter-General (SFM)</v>
      </c>
      <c r="B17" s="5"/>
      <c r="C17" s="5" t="s">
        <v>435</v>
      </c>
      <c r="D17" s="6" t="s">
        <v>650</v>
      </c>
      <c r="E17" s="5" t="s">
        <v>667</v>
      </c>
      <c r="F17" s="5">
        <v>8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25" t="s">
        <v>241</v>
      </c>
      <c r="AR17" s="5">
        <v>1</v>
      </c>
      <c r="AS17" s="7">
        <v>36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49" t="s">
        <v>669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O17" s="7" t="s">
        <v>251</v>
      </c>
      <c r="CP17" s="7" t="s">
        <v>713</v>
      </c>
      <c r="CS17" s="24" t="str">
        <f t="shared" ref="CS17" si="4">"."&amp;SUBSTITUTE(SUBSTITUTE(SUBSTITUTE(SUBSTITUTE(A17, "(",""),")","")," ",""),"#","")</f>
        <v>.Section-Front-Matter-GeneralSFM</v>
      </c>
      <c r="CV17" s="7" t="b">
        <v>1</v>
      </c>
      <c r="CW17" s="7" t="b">
        <v>1</v>
      </c>
      <c r="CX17" s="7" t="b">
        <v>1</v>
      </c>
    </row>
    <row r="18" spans="1:102">
      <c r="A18" s="38" t="str">
        <f t="shared" si="0"/>
        <v>Section-Introduction (SIC)</v>
      </c>
      <c r="B18" s="5"/>
      <c r="C18" s="5" t="s">
        <v>637</v>
      </c>
      <c r="D18" s="6" t="s">
        <v>651</v>
      </c>
      <c r="E18" s="5" t="s">
        <v>667</v>
      </c>
      <c r="F18" s="5">
        <v>8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25" t="s">
        <v>241</v>
      </c>
      <c r="AR18" s="5">
        <v>1</v>
      </c>
      <c r="AS18" s="7">
        <v>36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49" t="s">
        <v>669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O18" s="7" t="s">
        <v>257</v>
      </c>
      <c r="CS18" s="24" t="str">
        <f t="shared" si="2"/>
        <v>.Section-IntroductionSIC</v>
      </c>
      <c r="CV18" s="7" t="b">
        <v>1</v>
      </c>
      <c r="CW18" s="7" t="b">
        <v>1</v>
      </c>
      <c r="CX18" s="7" t="b">
        <v>1</v>
      </c>
    </row>
    <row r="19" spans="1:102">
      <c r="A19" s="38" t="str">
        <f t="shared" si="0"/>
        <v>Section-Part (SPT)</v>
      </c>
      <c r="B19" s="5"/>
      <c r="C19" s="5" t="s">
        <v>225</v>
      </c>
      <c r="D19" s="6" t="s">
        <v>652</v>
      </c>
      <c r="E19" s="5" t="s">
        <v>668</v>
      </c>
      <c r="F19" s="5">
        <v>8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66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25" t="s">
        <v>241</v>
      </c>
      <c r="AR19" s="5">
        <v>1</v>
      </c>
      <c r="AS19" s="7">
        <v>36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53" t="s">
        <v>671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BS19" s="7" t="b">
        <v>1</v>
      </c>
      <c r="CO19" s="7" t="s">
        <v>259</v>
      </c>
      <c r="CS19" s="24" t="str">
        <f t="shared" si="2"/>
        <v>.Section-PartSPT</v>
      </c>
      <c r="CV19" s="7" t="b">
        <v>1</v>
      </c>
      <c r="CW19" s="7" t="b">
        <v>1</v>
      </c>
      <c r="CX19" s="7" t="b">
        <v>1</v>
      </c>
    </row>
    <row r="20" spans="1:102">
      <c r="A20" s="38" t="str">
        <f t="shared" si="0"/>
        <v>Section-Chapter (SCP)</v>
      </c>
      <c r="B20" s="5"/>
      <c r="C20" s="5" t="s">
        <v>226</v>
      </c>
      <c r="D20" s="6" t="s">
        <v>653</v>
      </c>
      <c r="E20" s="5" t="s">
        <v>668</v>
      </c>
      <c r="F20" s="5">
        <v>8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66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25" t="s">
        <v>241</v>
      </c>
      <c r="AR20" s="5">
        <v>1</v>
      </c>
      <c r="AS20" s="7">
        <v>36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39" t="s">
        <v>672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O20" s="7" t="s">
        <v>258</v>
      </c>
      <c r="CS20" s="24" t="str">
        <f t="shared" si="2"/>
        <v>.Section-ChapterSCP</v>
      </c>
      <c r="CV20" s="7" t="b">
        <v>1</v>
      </c>
      <c r="CW20" s="7" t="b">
        <v>1</v>
      </c>
      <c r="CX20" s="7" t="b">
        <v>1</v>
      </c>
    </row>
    <row r="21" spans="1:102">
      <c r="A21" s="38" t="str">
        <f t="shared" si="0"/>
        <v>Section-Recipe (SREC)</v>
      </c>
      <c r="B21" s="5"/>
      <c r="C21" s="5" t="s">
        <v>432</v>
      </c>
      <c r="D21" s="6" t="s">
        <v>654</v>
      </c>
      <c r="E21" s="5" t="s">
        <v>668</v>
      </c>
      <c r="F21" s="5">
        <v>8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66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25" t="s">
        <v>241</v>
      </c>
      <c r="AR21" s="5">
        <v>1</v>
      </c>
      <c r="AS21" s="7">
        <v>36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39" t="s">
        <v>672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O21" s="7" t="s">
        <v>258</v>
      </c>
      <c r="CP21" s="7" t="s">
        <v>714</v>
      </c>
      <c r="CQ21" s="7" t="b">
        <v>1</v>
      </c>
      <c r="CR21" s="7" t="s">
        <v>717</v>
      </c>
      <c r="CS21" s="24" t="str">
        <f t="shared" ref="CS21:CS22" si="5">"."&amp;SUBSTITUTE(SUBSTITUTE(SUBSTITUTE(SUBSTITUTE(A21, "(",""),")","")," ",""),"#","")</f>
        <v>.Section-RecipeSREC</v>
      </c>
      <c r="CV21" s="7" t="b">
        <v>1</v>
      </c>
      <c r="CW21" s="7" t="b">
        <v>1</v>
      </c>
      <c r="CX21" s="7" t="b">
        <v>1</v>
      </c>
    </row>
    <row r="22" spans="1:102">
      <c r="A22" s="38" t="str">
        <f t="shared" si="0"/>
        <v>Section-Interlude (SIN)</v>
      </c>
      <c r="B22" s="5"/>
      <c r="C22" s="5" t="s">
        <v>433</v>
      </c>
      <c r="D22" s="6" t="s">
        <v>655</v>
      </c>
      <c r="E22" s="5" t="s">
        <v>668</v>
      </c>
      <c r="F22" s="5">
        <v>8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66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25" t="s">
        <v>241</v>
      </c>
      <c r="AR22" s="5">
        <v>1</v>
      </c>
      <c r="AS22" s="7">
        <v>36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39" t="s">
        <v>672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O22" s="7" t="s">
        <v>258</v>
      </c>
      <c r="CP22" s="7" t="s">
        <v>715</v>
      </c>
      <c r="CR22" s="7" t="s">
        <v>716</v>
      </c>
      <c r="CS22" s="24" t="str">
        <f t="shared" si="5"/>
        <v>.Section-InterludeSIN</v>
      </c>
      <c r="CV22" s="7" t="b">
        <v>1</v>
      </c>
      <c r="CW22" s="7" t="b">
        <v>1</v>
      </c>
      <c r="CX22" s="7" t="b">
        <v>1</v>
      </c>
    </row>
    <row r="23" spans="1:102">
      <c r="A23" s="38" t="str">
        <f t="shared" si="0"/>
        <v>Section-Conclusion (SCL)</v>
      </c>
      <c r="B23" s="5"/>
      <c r="C23" s="5" t="s">
        <v>229</v>
      </c>
      <c r="D23" s="6" t="s">
        <v>656</v>
      </c>
      <c r="E23" s="5" t="s">
        <v>667</v>
      </c>
      <c r="F23" s="5">
        <v>8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66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25" t="s">
        <v>241</v>
      </c>
      <c r="AR23" s="5">
        <v>1</v>
      </c>
      <c r="AS23" s="7">
        <v>36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9" t="s">
        <v>672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O23" s="7" t="s">
        <v>260</v>
      </c>
      <c r="CP23" s="7" t="s">
        <v>316</v>
      </c>
      <c r="CS23" s="24" t="str">
        <f t="shared" si="2"/>
        <v>.Section-ConclusionSCL</v>
      </c>
      <c r="CV23" s="7" t="b">
        <v>1</v>
      </c>
      <c r="CW23" s="7" t="b">
        <v>1</v>
      </c>
      <c r="CX23" s="7" t="b">
        <v>1</v>
      </c>
    </row>
    <row r="24" spans="1:102">
      <c r="A24" s="38" t="str">
        <f t="shared" si="0"/>
        <v>Section-Afterword (SAW)</v>
      </c>
      <c r="B24" s="5"/>
      <c r="C24" s="5" t="s">
        <v>228</v>
      </c>
      <c r="D24" s="6" t="s">
        <v>657</v>
      </c>
      <c r="E24" s="5" t="s">
        <v>667</v>
      </c>
      <c r="F24" s="5">
        <v>8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59" t="s">
        <v>751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25" t="s">
        <v>241</v>
      </c>
      <c r="AR24" s="5">
        <v>1</v>
      </c>
      <c r="AS24" s="7">
        <v>36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48" t="s">
        <v>69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O24" s="7" t="s">
        <v>262</v>
      </c>
      <c r="CS24" s="24" t="str">
        <f t="shared" si="2"/>
        <v>.Section-AfterwordSAW</v>
      </c>
      <c r="CV24" s="7" t="b">
        <v>1</v>
      </c>
      <c r="CW24" s="7" t="b">
        <v>1</v>
      </c>
      <c r="CX24" s="7" t="b">
        <v>1</v>
      </c>
    </row>
    <row r="25" spans="1:102">
      <c r="A25" s="38" t="str">
        <f t="shared" si="0"/>
        <v>Section-Acknowledgments (SAK)</v>
      </c>
      <c r="B25" s="5"/>
      <c r="C25" s="5" t="s">
        <v>230</v>
      </c>
      <c r="D25" s="6" t="s">
        <v>658</v>
      </c>
      <c r="E25" s="5" t="s">
        <v>667</v>
      </c>
      <c r="F25" s="5">
        <v>8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59" t="s">
        <v>751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25" t="s">
        <v>241</v>
      </c>
      <c r="AR25" s="5">
        <v>1</v>
      </c>
      <c r="AS25" s="7">
        <v>36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48" t="s">
        <v>69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O25" s="7" t="s">
        <v>263</v>
      </c>
      <c r="CS25" s="24" t="str">
        <f t="shared" si="2"/>
        <v>.Section-AcknowledgmentsSAK</v>
      </c>
      <c r="CV25" s="7" t="b">
        <v>1</v>
      </c>
      <c r="CW25" s="7" t="b">
        <v>1</v>
      </c>
      <c r="CX25" s="7" t="b">
        <v>1</v>
      </c>
    </row>
    <row r="26" spans="1:102">
      <c r="A26" s="38" t="str">
        <f t="shared" si="0"/>
        <v>Section-Appendix (SAP)</v>
      </c>
      <c r="B26" s="5"/>
      <c r="C26" s="5" t="s">
        <v>227</v>
      </c>
      <c r="D26" s="6" t="s">
        <v>659</v>
      </c>
      <c r="E26" s="5" t="s">
        <v>667</v>
      </c>
      <c r="F26" s="5">
        <v>8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59" t="s">
        <v>751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25" t="s">
        <v>241</v>
      </c>
      <c r="AR26" s="5">
        <v>1</v>
      </c>
      <c r="AS26" s="7">
        <v>36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48" t="s">
        <v>69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O26" s="7" t="s">
        <v>261</v>
      </c>
      <c r="CS26" s="24" t="str">
        <f t="shared" si="2"/>
        <v>.Section-AppendixSAP</v>
      </c>
      <c r="CV26" s="7" t="b">
        <v>1</v>
      </c>
      <c r="CW26" s="7" t="b">
        <v>1</v>
      </c>
      <c r="CX26" s="7" t="b">
        <v>1</v>
      </c>
    </row>
    <row r="27" spans="1:102">
      <c r="A27" s="38" t="str">
        <f t="shared" si="0"/>
        <v>Section-Glossary (SGL)</v>
      </c>
      <c r="B27" s="5"/>
      <c r="C27" s="5" t="s">
        <v>231</v>
      </c>
      <c r="D27" s="6" t="s">
        <v>680</v>
      </c>
      <c r="E27" s="5" t="s">
        <v>667</v>
      </c>
      <c r="F27" s="5">
        <v>8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59" t="s">
        <v>751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25" t="s">
        <v>241</v>
      </c>
      <c r="AR27" s="5">
        <v>1</v>
      </c>
      <c r="AS27" s="7">
        <v>36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48" t="s">
        <v>69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O27" s="7" t="s">
        <v>264</v>
      </c>
      <c r="CS27" s="24" t="str">
        <f t="shared" si="2"/>
        <v>.Section-GlossarySGL</v>
      </c>
      <c r="CV27" s="7" t="b">
        <v>1</v>
      </c>
      <c r="CW27" s="7" t="b">
        <v>1</v>
      </c>
      <c r="CX27" s="7" t="b">
        <v>1</v>
      </c>
    </row>
    <row r="28" spans="1:102">
      <c r="A28" s="38" t="str">
        <f t="shared" si="0"/>
        <v>Section-Excerpt-Chapter (SEC)</v>
      </c>
      <c r="B28" s="5"/>
      <c r="C28" s="5" t="s">
        <v>235</v>
      </c>
      <c r="D28" s="6" t="s">
        <v>660</v>
      </c>
      <c r="E28" s="5" t="s">
        <v>668</v>
      </c>
      <c r="F28" s="5">
        <v>8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59" t="s">
        <v>751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25" t="s">
        <v>241</v>
      </c>
      <c r="AR28" s="5">
        <v>1</v>
      </c>
      <c r="AS28" s="7">
        <v>36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48" t="s">
        <v>69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O28" s="7" t="s">
        <v>261</v>
      </c>
      <c r="CP28" s="7" t="s">
        <v>318</v>
      </c>
      <c r="CQ28" s="7" t="b">
        <v>1</v>
      </c>
      <c r="CR28" s="7" t="s">
        <v>273</v>
      </c>
      <c r="CS28" s="24" t="str">
        <f t="shared" si="2"/>
        <v>.Section-Excerpt-ChapterSEC</v>
      </c>
      <c r="CV28" s="7" t="b">
        <v>1</v>
      </c>
      <c r="CW28" s="7" t="b">
        <v>1</v>
      </c>
      <c r="CX28" s="7" t="b">
        <v>1</v>
      </c>
    </row>
    <row r="29" spans="1:102">
      <c r="A29" s="38" t="str">
        <f t="shared" si="0"/>
        <v>Section-Excerpt-Opener (SEO)</v>
      </c>
      <c r="B29" s="5"/>
      <c r="C29" s="5" t="s">
        <v>234</v>
      </c>
      <c r="D29" s="6" t="s">
        <v>661</v>
      </c>
      <c r="E29" s="5" t="s">
        <v>667</v>
      </c>
      <c r="F29" s="5">
        <v>8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59" t="s">
        <v>751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25" t="s">
        <v>241</v>
      </c>
      <c r="AR29" s="5">
        <v>1</v>
      </c>
      <c r="AS29" s="7">
        <v>36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48" t="s">
        <v>69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O29" s="7" t="s">
        <v>261</v>
      </c>
      <c r="CP29" s="7" t="s">
        <v>317</v>
      </c>
      <c r="CR29" s="7" t="s">
        <v>272</v>
      </c>
      <c r="CS29" s="24" t="str">
        <f t="shared" si="2"/>
        <v>.Section-Excerpt-OpenerSEO</v>
      </c>
      <c r="CV29" s="7" t="b">
        <v>1</v>
      </c>
      <c r="CW29" s="7" t="b">
        <v>1</v>
      </c>
      <c r="CX29" s="7" t="b">
        <v>1</v>
      </c>
    </row>
    <row r="30" spans="1:102">
      <c r="A30" s="38" t="str">
        <f t="shared" si="0"/>
        <v>Section-Bibliography (SBI)</v>
      </c>
      <c r="B30" s="5"/>
      <c r="C30" s="5" t="s">
        <v>233</v>
      </c>
      <c r="D30" s="6" t="s">
        <v>662</v>
      </c>
      <c r="E30" s="5" t="s">
        <v>667</v>
      </c>
      <c r="F30" s="5">
        <v>8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59" t="s">
        <v>751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25" t="s">
        <v>241</v>
      </c>
      <c r="AR30" s="5">
        <v>1</v>
      </c>
      <c r="AS30" s="7">
        <v>36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8" t="s">
        <v>69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O30" s="7" t="s">
        <v>265</v>
      </c>
      <c r="CS30" s="24" t="str">
        <f t="shared" si="2"/>
        <v>.Section-BibliographySBI</v>
      </c>
      <c r="CV30" s="7" t="b">
        <v>1</v>
      </c>
      <c r="CW30" s="7" t="b">
        <v>1</v>
      </c>
      <c r="CX30" s="7" t="b">
        <v>1</v>
      </c>
    </row>
    <row r="31" spans="1:102">
      <c r="A31" s="38" t="str">
        <f t="shared" si="0"/>
        <v>Section-Notes (SNT)</v>
      </c>
      <c r="B31" s="5"/>
      <c r="C31" s="5" t="s">
        <v>232</v>
      </c>
      <c r="D31" s="6" t="s">
        <v>663</v>
      </c>
      <c r="E31" s="5" t="s">
        <v>667</v>
      </c>
      <c r="F31" s="5">
        <v>8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59" t="s">
        <v>751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25" t="s">
        <v>241</v>
      </c>
      <c r="AR31" s="5">
        <v>1</v>
      </c>
      <c r="AS31" s="7">
        <v>36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48" t="s">
        <v>69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O31" s="7" t="s">
        <v>261</v>
      </c>
      <c r="CP31" s="7" t="s">
        <v>248</v>
      </c>
      <c r="CR31" s="7" t="s">
        <v>271</v>
      </c>
      <c r="CS31" s="24" t="str">
        <f t="shared" si="2"/>
        <v>.Section-NotesSNT</v>
      </c>
      <c r="CV31" s="7" t="b">
        <v>1</v>
      </c>
      <c r="CW31" s="7" t="b">
        <v>1</v>
      </c>
      <c r="CX31" s="7" t="b">
        <v>1</v>
      </c>
    </row>
    <row r="32" spans="1:102">
      <c r="A32" s="38" t="str">
        <f t="shared" si="0"/>
        <v>Section-About-Author (SAA)</v>
      </c>
      <c r="B32" s="5"/>
      <c r="C32" s="5" t="s">
        <v>236</v>
      </c>
      <c r="D32" s="6" t="s">
        <v>664</v>
      </c>
      <c r="E32" s="5" t="s">
        <v>667</v>
      </c>
      <c r="F32" s="5">
        <v>8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59" t="s">
        <v>751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25" t="s">
        <v>241</v>
      </c>
      <c r="AR32" s="5">
        <v>1</v>
      </c>
      <c r="AS32" s="7">
        <v>36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52" t="s">
        <v>670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O32" s="7" t="s">
        <v>261</v>
      </c>
      <c r="CP32" s="7" t="s">
        <v>319</v>
      </c>
      <c r="CR32" s="7" t="s">
        <v>274</v>
      </c>
      <c r="CS32" s="24" t="str">
        <f t="shared" si="2"/>
        <v>.Section-About-AuthorSAA</v>
      </c>
      <c r="CV32" s="7" t="b">
        <v>1</v>
      </c>
      <c r="CW32" s="7" t="b">
        <v>1</v>
      </c>
      <c r="CX32" s="7" t="b">
        <v>1</v>
      </c>
    </row>
    <row r="33" spans="1:102">
      <c r="A33" s="38" t="str">
        <f t="shared" si="0"/>
        <v>Section-Back-Ad (SBA)</v>
      </c>
      <c r="B33" s="5"/>
      <c r="C33" s="5" t="s">
        <v>237</v>
      </c>
      <c r="D33" s="6" t="s">
        <v>665</v>
      </c>
      <c r="E33" s="5" t="s">
        <v>668</v>
      </c>
      <c r="F33" s="5">
        <v>8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59" t="s">
        <v>751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25" t="s">
        <v>241</v>
      </c>
      <c r="AR33" s="5">
        <v>1</v>
      </c>
      <c r="AS33" s="7">
        <v>36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48" t="s">
        <v>69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O33" s="7" t="s">
        <v>261</v>
      </c>
      <c r="CP33" s="7" t="s">
        <v>320</v>
      </c>
      <c r="CQ33" s="7" t="b">
        <v>1</v>
      </c>
      <c r="CR33" s="7" t="s">
        <v>329</v>
      </c>
      <c r="CS33" s="24" t="str">
        <f t="shared" si="2"/>
        <v>.Section-Back-AdSBA</v>
      </c>
      <c r="CV33" s="7" t="b">
        <v>1</v>
      </c>
      <c r="CW33" s="7" t="b">
        <v>1</v>
      </c>
      <c r="CX33" s="7" t="b">
        <v>1</v>
      </c>
    </row>
    <row r="34" spans="1:102">
      <c r="A34" s="38" t="str">
        <f t="shared" si="0"/>
        <v>Section-Index (SIN)</v>
      </c>
      <c r="B34" s="5"/>
      <c r="C34" s="5" t="s">
        <v>238</v>
      </c>
      <c r="D34" s="6" t="s">
        <v>655</v>
      </c>
      <c r="E34" s="5" t="s">
        <v>667</v>
      </c>
      <c r="F34" s="5">
        <v>8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59" t="s">
        <v>751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25" t="s">
        <v>241</v>
      </c>
      <c r="AR34" s="5">
        <v>1</v>
      </c>
      <c r="AS34" s="7">
        <v>36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48" t="s">
        <v>69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O34" s="7" t="s">
        <v>266</v>
      </c>
      <c r="CS34" s="24" t="str">
        <f t="shared" si="2"/>
        <v>.Section-IndexSIN</v>
      </c>
      <c r="CV34" s="7" t="b">
        <v>1</v>
      </c>
      <c r="CW34" s="7" t="b">
        <v>1</v>
      </c>
      <c r="CX34" s="7" t="b">
        <v>1</v>
      </c>
    </row>
    <row r="35" spans="1:102">
      <c r="A35" s="38" t="str">
        <f t="shared" si="0"/>
        <v>Section-Back-Matter-General (SBM)</v>
      </c>
      <c r="B35" s="5"/>
      <c r="C35" s="5" t="s">
        <v>434</v>
      </c>
      <c r="D35" s="6" t="s">
        <v>666</v>
      </c>
      <c r="E35" s="5" t="s">
        <v>667</v>
      </c>
      <c r="F35" s="5">
        <v>8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59" t="s">
        <v>751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6</v>
      </c>
      <c r="AE35" s="5">
        <v>0</v>
      </c>
      <c r="AF35" s="5">
        <v>11</v>
      </c>
      <c r="AG35" s="5">
        <v>1</v>
      </c>
      <c r="AH35" s="5">
        <v>0</v>
      </c>
      <c r="AI35" s="5">
        <v>1</v>
      </c>
      <c r="AJ35" s="5" t="b">
        <v>1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25" t="s">
        <v>241</v>
      </c>
      <c r="AR35" s="5">
        <v>1</v>
      </c>
      <c r="AS35" s="7">
        <v>36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48" t="s">
        <v>69</v>
      </c>
      <c r="BG35" s="6"/>
      <c r="BH35" s="5"/>
      <c r="BI35" s="5"/>
      <c r="BJ35" s="6"/>
      <c r="BK35" s="5" t="s">
        <v>0</v>
      </c>
      <c r="BL35" s="5">
        <v>0</v>
      </c>
      <c r="BM35" s="5" t="b">
        <v>0</v>
      </c>
      <c r="CO35" s="7" t="s">
        <v>261</v>
      </c>
      <c r="CP35" s="7" t="s">
        <v>712</v>
      </c>
      <c r="CS35" s="24" t="str">
        <f t="shared" si="2"/>
        <v>.Section-Back-Matter-GeneralSBM</v>
      </c>
      <c r="CV35" s="7" t="b">
        <v>1</v>
      </c>
      <c r="CW35" s="7" t="b">
        <v>1</v>
      </c>
      <c r="CX35" s="7" t="b">
        <v>1</v>
      </c>
    </row>
    <row r="36" spans="1:102">
      <c r="A36" s="38" t="str">
        <f t="shared" si="0"/>
        <v>Number (Num)</v>
      </c>
      <c r="C36" s="7" t="s">
        <v>336</v>
      </c>
      <c r="D36" s="6" t="s">
        <v>337</v>
      </c>
      <c r="E36" s="5" t="s">
        <v>668</v>
      </c>
      <c r="F36" s="5">
        <v>1</v>
      </c>
      <c r="G36" s="5" t="b">
        <v>1</v>
      </c>
      <c r="H36" s="5">
        <v>1</v>
      </c>
      <c r="I36" s="5" t="s">
        <v>2</v>
      </c>
      <c r="J36" s="5">
        <v>18</v>
      </c>
      <c r="K36" s="7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7">
        <v>0</v>
      </c>
      <c r="AB36" s="7">
        <v>0</v>
      </c>
      <c r="AC36" s="7">
        <v>6</v>
      </c>
      <c r="AD36" s="7">
        <v>6</v>
      </c>
      <c r="AE36" s="7">
        <v>2</v>
      </c>
      <c r="AF36" s="7">
        <v>24</v>
      </c>
      <c r="AG36" s="7">
        <v>1</v>
      </c>
      <c r="AH36" s="7">
        <v>0</v>
      </c>
      <c r="AI36" s="5">
        <v>3</v>
      </c>
      <c r="AJ36" s="7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39" t="s">
        <v>672</v>
      </c>
      <c r="AR36" s="5">
        <v>2</v>
      </c>
      <c r="AS36" s="7">
        <v>36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9" t="s">
        <v>66</v>
      </c>
      <c r="BG36" s="6"/>
      <c r="BH36" s="5"/>
      <c r="BI36" s="5"/>
      <c r="BJ36" s="5"/>
      <c r="BK36" s="5" t="s">
        <v>0</v>
      </c>
      <c r="BL36" s="5">
        <v>0</v>
      </c>
      <c r="BM36" s="5" t="b">
        <v>0</v>
      </c>
      <c r="BT36" s="7" t="b">
        <v>1</v>
      </c>
      <c r="CL36" s="7" t="b">
        <v>1</v>
      </c>
      <c r="CS36" s="24" t="str">
        <f t="shared" si="2"/>
        <v>.NumberNum</v>
      </c>
    </row>
    <row r="37" spans="1:102">
      <c r="A37" s="38" t="str">
        <f t="shared" si="0"/>
        <v>Title (Ttl)</v>
      </c>
      <c r="C37" s="7" t="s">
        <v>338</v>
      </c>
      <c r="D37" s="7" t="s">
        <v>587</v>
      </c>
      <c r="E37" s="7" t="s">
        <v>430</v>
      </c>
      <c r="F37" s="5">
        <v>1</v>
      </c>
      <c r="G37" s="7" t="b">
        <v>1</v>
      </c>
      <c r="H37" s="5">
        <v>1</v>
      </c>
      <c r="I37" s="5" t="s">
        <v>1</v>
      </c>
      <c r="J37" s="5">
        <v>24</v>
      </c>
      <c r="K37" s="7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7">
        <v>0</v>
      </c>
      <c r="AB37" s="7">
        <v>0</v>
      </c>
      <c r="AC37" s="7">
        <v>6</v>
      </c>
      <c r="AD37" s="7">
        <v>6</v>
      </c>
      <c r="AE37" s="7">
        <v>2</v>
      </c>
      <c r="AF37" s="7">
        <v>24</v>
      </c>
      <c r="AG37" s="7">
        <v>1</v>
      </c>
      <c r="AH37" s="7">
        <v>0</v>
      </c>
      <c r="AI37" s="7">
        <v>3</v>
      </c>
      <c r="AJ37" s="7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39" t="s">
        <v>672</v>
      </c>
      <c r="AR37" s="5">
        <v>2</v>
      </c>
      <c r="AS37" s="7">
        <v>36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9" t="s">
        <v>66</v>
      </c>
      <c r="BJ37" s="37"/>
      <c r="BK37" s="5" t="s">
        <v>0</v>
      </c>
      <c r="BL37" s="5">
        <v>0</v>
      </c>
      <c r="BM37" s="5" t="b">
        <v>0</v>
      </c>
      <c r="BT37" s="7" t="b">
        <v>1</v>
      </c>
      <c r="CK37" s="7" t="b">
        <v>1</v>
      </c>
      <c r="CS37" s="31" t="str">
        <f t="shared" ref="CS37:CS94" si="6">"."&amp;SUBSTITUTE(SUBSTITUTE(SUBSTITUTE(SUBSTITUTE(A37, "(",""),")","")," ",""),"#","")</f>
        <v>.TitleTtl</v>
      </c>
    </row>
    <row r="38" spans="1:102">
      <c r="A38" s="38" t="str">
        <f t="shared" si="0"/>
        <v>Main-Head (MHead)</v>
      </c>
      <c r="C38" s="7" t="s">
        <v>339</v>
      </c>
      <c r="D38" s="7" t="s">
        <v>632</v>
      </c>
      <c r="E38" s="7" t="s">
        <v>430</v>
      </c>
      <c r="F38" s="5">
        <v>1</v>
      </c>
      <c r="G38" s="7" t="b">
        <v>1</v>
      </c>
      <c r="H38" s="5">
        <v>1</v>
      </c>
      <c r="I38" s="5" t="s">
        <v>2</v>
      </c>
      <c r="J38" s="5">
        <v>20</v>
      </c>
      <c r="K38" s="7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7">
        <v>0</v>
      </c>
      <c r="AB38" s="7">
        <v>0</v>
      </c>
      <c r="AC38" s="7">
        <v>6</v>
      </c>
      <c r="AD38" s="7">
        <v>6</v>
      </c>
      <c r="AE38" s="7">
        <v>2</v>
      </c>
      <c r="AF38" s="7">
        <v>24</v>
      </c>
      <c r="AG38" s="7">
        <v>1</v>
      </c>
      <c r="AH38" s="7">
        <v>0</v>
      </c>
      <c r="AI38" s="7">
        <v>3</v>
      </c>
      <c r="AJ38" s="7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39" t="s">
        <v>672</v>
      </c>
      <c r="AR38" s="5">
        <v>2</v>
      </c>
      <c r="AS38" s="7">
        <v>36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9" t="s">
        <v>66</v>
      </c>
      <c r="BJ38" s="37"/>
      <c r="BK38" s="5" t="s">
        <v>0</v>
      </c>
      <c r="BL38" s="5">
        <v>0</v>
      </c>
      <c r="BM38" s="5" t="b">
        <v>0</v>
      </c>
      <c r="BT38" s="7" t="b">
        <v>1</v>
      </c>
      <c r="CS38" s="31" t="str">
        <f t="shared" si="6"/>
        <v>.Main-HeadMHead</v>
      </c>
    </row>
    <row r="39" spans="1:102">
      <c r="A39" s="38" t="str">
        <f t="shared" si="0"/>
        <v>Subtitle (Sttl)</v>
      </c>
      <c r="C39" s="7" t="s">
        <v>340</v>
      </c>
      <c r="D39" s="7" t="s">
        <v>588</v>
      </c>
      <c r="E39" s="7" t="s">
        <v>430</v>
      </c>
      <c r="F39" s="5">
        <v>1</v>
      </c>
      <c r="G39" s="7" t="b">
        <v>0</v>
      </c>
      <c r="H39" s="5">
        <v>1</v>
      </c>
      <c r="I39" s="5" t="s">
        <v>67</v>
      </c>
      <c r="J39" s="5">
        <v>18</v>
      </c>
      <c r="K39" s="7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7">
        <v>0</v>
      </c>
      <c r="AB39" s="7">
        <v>0</v>
      </c>
      <c r="AC39" s="7">
        <v>6</v>
      </c>
      <c r="AD39" s="7">
        <v>6</v>
      </c>
      <c r="AE39" s="7">
        <v>2</v>
      </c>
      <c r="AF39" s="7">
        <v>24</v>
      </c>
      <c r="AG39" s="7">
        <v>1</v>
      </c>
      <c r="AH39" s="7">
        <v>0</v>
      </c>
      <c r="AI39" s="7">
        <v>10</v>
      </c>
      <c r="AJ39" s="7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39" t="s">
        <v>672</v>
      </c>
      <c r="AR39" s="5">
        <v>2</v>
      </c>
      <c r="AS39" s="7">
        <v>36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9" t="s">
        <v>66</v>
      </c>
      <c r="BJ39" s="37"/>
      <c r="BK39" s="5" t="s">
        <v>0</v>
      </c>
      <c r="BL39" s="5">
        <v>0</v>
      </c>
      <c r="BM39" s="5" t="b">
        <v>0</v>
      </c>
      <c r="CS39" s="31" t="str">
        <f t="shared" si="6"/>
        <v>.SubtitleSttl</v>
      </c>
    </row>
    <row r="40" spans="1:102">
      <c r="A40" s="38" t="str">
        <f t="shared" si="0"/>
        <v>Author1 (Au1)</v>
      </c>
      <c r="C40" s="7" t="s">
        <v>436</v>
      </c>
      <c r="D40" s="7" t="s">
        <v>438</v>
      </c>
      <c r="E40" s="7" t="s">
        <v>430</v>
      </c>
      <c r="F40" s="5">
        <v>1</v>
      </c>
      <c r="G40" s="7" t="b">
        <v>0</v>
      </c>
      <c r="H40" s="5">
        <v>1</v>
      </c>
      <c r="I40" s="5" t="s">
        <v>67</v>
      </c>
      <c r="J40" s="5">
        <v>14</v>
      </c>
      <c r="K40" s="7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7">
        <v>0</v>
      </c>
      <c r="AB40" s="7">
        <v>0</v>
      </c>
      <c r="AC40" s="7">
        <v>6</v>
      </c>
      <c r="AD40" s="7">
        <v>6</v>
      </c>
      <c r="AE40" s="7">
        <v>2</v>
      </c>
      <c r="AF40" s="7">
        <v>24</v>
      </c>
      <c r="AG40" s="7">
        <v>1</v>
      </c>
      <c r="AH40" s="7">
        <v>0</v>
      </c>
      <c r="AI40" s="7">
        <v>10</v>
      </c>
      <c r="AJ40" s="7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39" t="s">
        <v>672</v>
      </c>
      <c r="AR40" s="5">
        <v>2</v>
      </c>
      <c r="AS40" s="7">
        <v>36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9" t="s">
        <v>66</v>
      </c>
      <c r="BJ40" s="37"/>
      <c r="BK40" s="5" t="s">
        <v>0</v>
      </c>
      <c r="BL40" s="5">
        <v>0</v>
      </c>
      <c r="BM40" s="5" t="b">
        <v>0</v>
      </c>
      <c r="CS40" s="31" t="str">
        <f t="shared" ref="CS40:CS41" si="7">"."&amp;SUBSTITUTE(SUBSTITUTE(SUBSTITUTE(SUBSTITUTE(A40, "(",""),")","")," ",""),"#","")</f>
        <v>.Author1Au1</v>
      </c>
    </row>
    <row r="41" spans="1:102">
      <c r="A41" s="38" t="str">
        <f t="shared" si="0"/>
        <v>Author2 (Au2)</v>
      </c>
      <c r="C41" s="7" t="s">
        <v>437</v>
      </c>
      <c r="D41" s="7" t="s">
        <v>439</v>
      </c>
      <c r="E41" s="7" t="s">
        <v>430</v>
      </c>
      <c r="F41" s="5">
        <v>1</v>
      </c>
      <c r="G41" s="7" t="b">
        <v>0</v>
      </c>
      <c r="H41" s="5">
        <v>1</v>
      </c>
      <c r="I41" s="5" t="s">
        <v>67</v>
      </c>
      <c r="J41" s="5">
        <v>14</v>
      </c>
      <c r="K41" s="7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7">
        <v>0</v>
      </c>
      <c r="AB41" s="7">
        <v>0</v>
      </c>
      <c r="AC41" s="7">
        <v>6</v>
      </c>
      <c r="AD41" s="7">
        <v>6</v>
      </c>
      <c r="AE41" s="7">
        <v>2</v>
      </c>
      <c r="AF41" s="7">
        <v>24</v>
      </c>
      <c r="AG41" s="7">
        <v>1</v>
      </c>
      <c r="AH41" s="7">
        <v>0</v>
      </c>
      <c r="AI41" s="7">
        <v>10</v>
      </c>
      <c r="AJ41" s="7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39" t="s">
        <v>672</v>
      </c>
      <c r="AR41" s="5">
        <v>2</v>
      </c>
      <c r="AS41" s="7">
        <v>36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9" t="s">
        <v>66</v>
      </c>
      <c r="BJ41" s="37"/>
      <c r="BK41" s="5" t="s">
        <v>0</v>
      </c>
      <c r="BL41" s="5">
        <v>0</v>
      </c>
      <c r="BM41" s="5" t="b">
        <v>0</v>
      </c>
      <c r="CS41" s="31" t="str">
        <f t="shared" si="7"/>
        <v>.Author2Au2</v>
      </c>
    </row>
    <row r="42" spans="1:102">
      <c r="A42" s="38" t="str">
        <f>IF($D42="","",TRIM($C42)&amp;" "&amp;CHAR(40)&amp;TRIM($D42)&amp;CHAR(41))</f>
        <v>Author3 (Au3)</v>
      </c>
      <c r="C42" s="7" t="s">
        <v>567</v>
      </c>
      <c r="D42" s="7" t="s">
        <v>568</v>
      </c>
      <c r="E42" s="7" t="s">
        <v>430</v>
      </c>
      <c r="F42" s="5">
        <v>1</v>
      </c>
      <c r="G42" s="7" t="b">
        <v>0</v>
      </c>
      <c r="H42" s="5">
        <v>1</v>
      </c>
      <c r="I42" s="5" t="s">
        <v>67</v>
      </c>
      <c r="J42" s="5">
        <v>14</v>
      </c>
      <c r="K42" s="7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7">
        <v>0</v>
      </c>
      <c r="AB42" s="7">
        <v>0</v>
      </c>
      <c r="AC42" s="7">
        <v>6</v>
      </c>
      <c r="AD42" s="7">
        <v>6</v>
      </c>
      <c r="AE42" s="7">
        <v>2</v>
      </c>
      <c r="AF42" s="7">
        <v>24</v>
      </c>
      <c r="AG42" s="7">
        <v>1</v>
      </c>
      <c r="AH42" s="7">
        <v>0</v>
      </c>
      <c r="AI42" s="7">
        <v>10</v>
      </c>
      <c r="AJ42" s="7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39" t="s">
        <v>672</v>
      </c>
      <c r="AR42" s="5">
        <v>2</v>
      </c>
      <c r="AS42" s="7">
        <v>36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9" t="s">
        <v>66</v>
      </c>
      <c r="BJ42" s="37"/>
      <c r="BK42" s="5" t="s">
        <v>0</v>
      </c>
      <c r="BL42" s="5">
        <v>0</v>
      </c>
      <c r="BM42" s="5" t="b">
        <v>0</v>
      </c>
      <c r="CS42" s="31" t="str">
        <f>"."&amp;SUBSTITUTE(SUBSTITUTE(SUBSTITUTE(SUBSTITUTE(A42, "(",""),")","")," ",""),"#","")</f>
        <v>.Author3Au3</v>
      </c>
    </row>
    <row r="43" spans="1:102">
      <c r="A43" s="38" t="str">
        <f t="shared" si="0"/>
        <v>A-Head (Ahead)</v>
      </c>
      <c r="C43" s="7" t="s">
        <v>342</v>
      </c>
      <c r="D43" s="7" t="s">
        <v>589</v>
      </c>
      <c r="E43" s="7" t="s">
        <v>430</v>
      </c>
      <c r="F43" s="5">
        <v>1</v>
      </c>
      <c r="G43" s="7" t="b">
        <v>1</v>
      </c>
      <c r="H43" s="5">
        <v>1</v>
      </c>
      <c r="I43" s="5" t="s">
        <v>2</v>
      </c>
      <c r="J43" s="5">
        <v>16</v>
      </c>
      <c r="K43" s="7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7">
        <v>0</v>
      </c>
      <c r="AB43" s="7">
        <v>0</v>
      </c>
      <c r="AC43" s="7">
        <v>6</v>
      </c>
      <c r="AD43" s="7">
        <v>6</v>
      </c>
      <c r="AE43" s="7">
        <v>2</v>
      </c>
      <c r="AF43" s="7">
        <v>24</v>
      </c>
      <c r="AG43" s="7">
        <v>0</v>
      </c>
      <c r="AH43" s="7">
        <v>0</v>
      </c>
      <c r="AI43" s="7">
        <v>4</v>
      </c>
      <c r="AJ43" s="7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39" t="s">
        <v>672</v>
      </c>
      <c r="AR43" s="5">
        <v>2</v>
      </c>
      <c r="AS43" s="7">
        <v>36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9" t="s">
        <v>66</v>
      </c>
      <c r="BJ43" s="37"/>
      <c r="BK43" s="5" t="s">
        <v>0</v>
      </c>
      <c r="BL43" s="5">
        <v>0</v>
      </c>
      <c r="BM43" s="5" t="b">
        <v>0</v>
      </c>
      <c r="CS43" s="31" t="str">
        <f t="shared" si="6"/>
        <v>.A-HeadAhead</v>
      </c>
    </row>
    <row r="44" spans="1:102">
      <c r="A44" s="38" t="str">
        <f t="shared" si="0"/>
        <v>B-Head (Bhead)</v>
      </c>
      <c r="C44" s="7" t="s">
        <v>343</v>
      </c>
      <c r="D44" s="7" t="s">
        <v>590</v>
      </c>
      <c r="E44" s="7" t="s">
        <v>430</v>
      </c>
      <c r="F44" s="5">
        <v>1</v>
      </c>
      <c r="G44" s="7" t="b">
        <v>1</v>
      </c>
      <c r="H44" s="5">
        <v>1</v>
      </c>
      <c r="I44" s="5" t="s">
        <v>1</v>
      </c>
      <c r="J44" s="5">
        <v>16</v>
      </c>
      <c r="K44" s="7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7">
        <v>0</v>
      </c>
      <c r="AB44" s="7">
        <v>0</v>
      </c>
      <c r="AC44" s="7">
        <v>6</v>
      </c>
      <c r="AD44" s="7">
        <v>6</v>
      </c>
      <c r="AE44" s="7">
        <v>2</v>
      </c>
      <c r="AF44" s="7">
        <v>24</v>
      </c>
      <c r="AG44" s="7">
        <v>0</v>
      </c>
      <c r="AH44" s="7">
        <v>0</v>
      </c>
      <c r="AI44" s="7">
        <v>5</v>
      </c>
      <c r="AJ44" s="7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39" t="s">
        <v>672</v>
      </c>
      <c r="AR44" s="5">
        <v>2</v>
      </c>
      <c r="AS44" s="7">
        <v>36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9" t="s">
        <v>66</v>
      </c>
      <c r="BJ44" s="37"/>
      <c r="BK44" s="5" t="s">
        <v>0</v>
      </c>
      <c r="BL44" s="5">
        <v>0</v>
      </c>
      <c r="BM44" s="5" t="b">
        <v>0</v>
      </c>
      <c r="CS44" s="31" t="str">
        <f t="shared" si="6"/>
        <v>.B-HeadBhead</v>
      </c>
    </row>
    <row r="45" spans="1:102">
      <c r="A45" s="38" t="str">
        <f t="shared" si="0"/>
        <v>C-Head (Chead)</v>
      </c>
      <c r="C45" s="7" t="s">
        <v>344</v>
      </c>
      <c r="D45" s="7" t="s">
        <v>591</v>
      </c>
      <c r="E45" s="7" t="s">
        <v>430</v>
      </c>
      <c r="F45" s="5">
        <v>1</v>
      </c>
      <c r="G45" s="7" t="b">
        <v>0</v>
      </c>
      <c r="H45" s="5">
        <v>1</v>
      </c>
      <c r="I45" s="5" t="s">
        <v>68</v>
      </c>
      <c r="J45" s="5">
        <v>16</v>
      </c>
      <c r="K45" s="7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7">
        <v>0</v>
      </c>
      <c r="AB45" s="7">
        <v>0</v>
      </c>
      <c r="AC45" s="7">
        <v>6</v>
      </c>
      <c r="AD45" s="7">
        <v>6</v>
      </c>
      <c r="AE45" s="7">
        <v>2</v>
      </c>
      <c r="AF45" s="7">
        <v>24</v>
      </c>
      <c r="AG45" s="7">
        <v>0</v>
      </c>
      <c r="AH45" s="7">
        <v>0</v>
      </c>
      <c r="AI45" s="7">
        <v>6</v>
      </c>
      <c r="AJ45" s="7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39" t="s">
        <v>672</v>
      </c>
      <c r="AR45" s="5">
        <v>2</v>
      </c>
      <c r="AS45" s="7">
        <v>36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9" t="s">
        <v>66</v>
      </c>
      <c r="BJ45" s="37"/>
      <c r="BK45" s="5" t="s">
        <v>0</v>
      </c>
      <c r="BL45" s="5">
        <v>0</v>
      </c>
      <c r="BM45" s="5" t="b">
        <v>0</v>
      </c>
      <c r="CS45" s="31" t="str">
        <f t="shared" si="6"/>
        <v>.C-HeadChead</v>
      </c>
    </row>
    <row r="46" spans="1:102">
      <c r="A46" s="38" t="str">
        <f t="shared" si="0"/>
        <v>D-Head (Dhead)</v>
      </c>
      <c r="C46" s="7" t="s">
        <v>345</v>
      </c>
      <c r="D46" s="7" t="s">
        <v>592</v>
      </c>
      <c r="E46" s="7" t="s">
        <v>430</v>
      </c>
      <c r="F46" s="5">
        <v>1</v>
      </c>
      <c r="G46" s="7" t="b">
        <v>0</v>
      </c>
      <c r="H46" s="5">
        <v>1</v>
      </c>
      <c r="I46" s="5" t="s">
        <v>2</v>
      </c>
      <c r="J46" s="5">
        <v>14</v>
      </c>
      <c r="K46" s="7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7">
        <v>0</v>
      </c>
      <c r="AB46" s="7">
        <v>0</v>
      </c>
      <c r="AC46" s="7">
        <v>6</v>
      </c>
      <c r="AD46" s="7">
        <v>6</v>
      </c>
      <c r="AE46" s="7">
        <v>2</v>
      </c>
      <c r="AF46" s="7">
        <v>24</v>
      </c>
      <c r="AG46" s="7">
        <v>0</v>
      </c>
      <c r="AH46" s="7">
        <v>0</v>
      </c>
      <c r="AI46" s="7">
        <v>7</v>
      </c>
      <c r="AJ46" s="7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39" t="s">
        <v>672</v>
      </c>
      <c r="AR46" s="5">
        <v>2</v>
      </c>
      <c r="AS46" s="7">
        <v>36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9" t="s">
        <v>66</v>
      </c>
      <c r="BJ46" s="37"/>
      <c r="BK46" s="5" t="s">
        <v>0</v>
      </c>
      <c r="BL46" s="5">
        <v>0</v>
      </c>
      <c r="BM46" s="5" t="b">
        <v>0</v>
      </c>
      <c r="CS46" s="31" t="str">
        <f t="shared" si="6"/>
        <v>.D-HeadDhead</v>
      </c>
    </row>
    <row r="47" spans="1:102">
      <c r="A47" s="38" t="str">
        <f t="shared" si="0"/>
        <v>E-Head (Ehead)</v>
      </c>
      <c r="C47" s="7" t="s">
        <v>346</v>
      </c>
      <c r="D47" s="7" t="s">
        <v>593</v>
      </c>
      <c r="E47" s="7" t="s">
        <v>430</v>
      </c>
      <c r="F47" s="5">
        <v>1</v>
      </c>
      <c r="G47" s="7" t="b">
        <v>0</v>
      </c>
      <c r="H47" s="5">
        <v>1</v>
      </c>
      <c r="I47" s="5" t="s">
        <v>1</v>
      </c>
      <c r="J47" s="5">
        <v>14</v>
      </c>
      <c r="K47" s="7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7">
        <v>0</v>
      </c>
      <c r="AB47" s="7">
        <v>0</v>
      </c>
      <c r="AC47" s="7">
        <v>6</v>
      </c>
      <c r="AD47" s="7">
        <v>6</v>
      </c>
      <c r="AE47" s="7">
        <v>2</v>
      </c>
      <c r="AF47" s="7">
        <v>24</v>
      </c>
      <c r="AG47" s="7">
        <v>0</v>
      </c>
      <c r="AH47" s="7">
        <v>0</v>
      </c>
      <c r="AI47" s="7">
        <v>8</v>
      </c>
      <c r="AJ47" s="7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39" t="s">
        <v>672</v>
      </c>
      <c r="AR47" s="5">
        <v>2</v>
      </c>
      <c r="AS47" s="7">
        <v>36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9" t="s">
        <v>66</v>
      </c>
      <c r="BJ47" s="37"/>
      <c r="BK47" s="5" t="s">
        <v>0</v>
      </c>
      <c r="BL47" s="5">
        <v>0</v>
      </c>
      <c r="BM47" s="5" t="b">
        <v>0</v>
      </c>
      <c r="CS47" s="31" t="str">
        <f t="shared" si="6"/>
        <v>.E-HeadEhead</v>
      </c>
    </row>
    <row r="48" spans="1:102">
      <c r="A48" s="38" t="str">
        <f t="shared" si="0"/>
        <v>F-Head (Fhead)</v>
      </c>
      <c r="C48" s="7" t="s">
        <v>347</v>
      </c>
      <c r="D48" s="7" t="s">
        <v>594</v>
      </c>
      <c r="E48" s="7" t="s">
        <v>430</v>
      </c>
      <c r="F48" s="5">
        <v>1</v>
      </c>
      <c r="G48" s="7" t="b">
        <v>0</v>
      </c>
      <c r="H48" s="5">
        <v>1</v>
      </c>
      <c r="I48" s="5" t="s">
        <v>68</v>
      </c>
      <c r="J48" s="5">
        <v>14</v>
      </c>
      <c r="K48" s="7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7">
        <v>0</v>
      </c>
      <c r="AB48" s="7">
        <v>0</v>
      </c>
      <c r="AC48" s="7">
        <v>6</v>
      </c>
      <c r="AD48" s="7">
        <v>6</v>
      </c>
      <c r="AE48" s="7">
        <v>2</v>
      </c>
      <c r="AF48" s="7">
        <v>24</v>
      </c>
      <c r="AG48" s="7">
        <v>0</v>
      </c>
      <c r="AH48" s="7">
        <v>0</v>
      </c>
      <c r="AI48" s="7">
        <v>9</v>
      </c>
      <c r="AJ48" s="7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39" t="s">
        <v>672</v>
      </c>
      <c r="AR48" s="5">
        <v>2</v>
      </c>
      <c r="AS48" s="7">
        <v>36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9" t="s">
        <v>66</v>
      </c>
      <c r="BJ48" s="37"/>
      <c r="BK48" s="5" t="s">
        <v>0</v>
      </c>
      <c r="BL48" s="5">
        <v>0</v>
      </c>
      <c r="BM48" s="5" t="b">
        <v>0</v>
      </c>
      <c r="CS48" s="31" t="str">
        <f t="shared" si="6"/>
        <v>.F-HeadFhead</v>
      </c>
    </row>
    <row r="49" spans="1:100">
      <c r="A49" s="38" t="str">
        <f t="shared" si="0"/>
        <v>Body-Text (Tx)</v>
      </c>
      <c r="C49" s="7" t="s">
        <v>348</v>
      </c>
      <c r="D49" s="7" t="s">
        <v>349</v>
      </c>
      <c r="E49" s="7" t="s">
        <v>430</v>
      </c>
      <c r="F49" s="5">
        <v>1</v>
      </c>
      <c r="G49" s="7" t="b">
        <v>1</v>
      </c>
      <c r="H49" s="5">
        <v>1</v>
      </c>
      <c r="I49" s="5" t="s">
        <v>67</v>
      </c>
      <c r="J49" s="5">
        <v>12</v>
      </c>
      <c r="K49" s="7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1</v>
      </c>
      <c r="Y49" s="5" t="b">
        <v>0</v>
      </c>
      <c r="Z49" s="5" t="b">
        <v>0</v>
      </c>
      <c r="AA49" s="7">
        <v>0</v>
      </c>
      <c r="AB49" s="7">
        <v>0</v>
      </c>
      <c r="AC49" s="7">
        <v>6</v>
      </c>
      <c r="AD49" s="7">
        <v>6</v>
      </c>
      <c r="AE49" s="7">
        <v>2</v>
      </c>
      <c r="AF49" s="7">
        <v>24</v>
      </c>
      <c r="AG49" s="7">
        <v>0</v>
      </c>
      <c r="AH49" s="7">
        <v>36</v>
      </c>
      <c r="AI49" s="7">
        <v>10</v>
      </c>
      <c r="AJ49" s="7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39" t="s">
        <v>672</v>
      </c>
      <c r="AR49" s="5">
        <v>1</v>
      </c>
      <c r="AS49" s="7">
        <v>36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9" t="s">
        <v>66</v>
      </c>
      <c r="BJ49" s="37"/>
      <c r="BK49" s="5" t="s">
        <v>0</v>
      </c>
      <c r="BL49" s="5">
        <v>0</v>
      </c>
      <c r="BM49" s="5" t="b">
        <v>0</v>
      </c>
      <c r="CS49" s="31" t="str">
        <f t="shared" si="6"/>
        <v>.Body-TextTx</v>
      </c>
      <c r="CV49" s="7" t="b">
        <v>1</v>
      </c>
    </row>
    <row r="50" spans="1:100">
      <c r="A50" s="38" t="str">
        <f t="shared" si="0"/>
        <v>Body-Text-Continued (Txc)</v>
      </c>
      <c r="C50" s="7" t="s">
        <v>350</v>
      </c>
      <c r="D50" s="7" t="s">
        <v>351</v>
      </c>
      <c r="E50" s="7" t="s">
        <v>430</v>
      </c>
      <c r="F50" s="5">
        <v>1</v>
      </c>
      <c r="G50" s="7" t="b">
        <v>0</v>
      </c>
      <c r="H50" s="5">
        <v>1</v>
      </c>
      <c r="I50" s="5" t="s">
        <v>67</v>
      </c>
      <c r="J50" s="5">
        <v>12</v>
      </c>
      <c r="K50" s="7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7">
        <v>0</v>
      </c>
      <c r="AB50" s="7">
        <v>0</v>
      </c>
      <c r="AC50" s="7">
        <v>6</v>
      </c>
      <c r="AD50" s="7">
        <v>6</v>
      </c>
      <c r="AE50" s="7">
        <v>2</v>
      </c>
      <c r="AF50" s="7">
        <v>24</v>
      </c>
      <c r="AG50" s="7">
        <v>0</v>
      </c>
      <c r="AH50" s="7">
        <v>0</v>
      </c>
      <c r="AI50" s="7">
        <v>10</v>
      </c>
      <c r="AJ50" s="7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39" t="s">
        <v>672</v>
      </c>
      <c r="AR50" s="5">
        <v>1</v>
      </c>
      <c r="AS50" s="7">
        <v>36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9" t="s">
        <v>66</v>
      </c>
      <c r="BJ50" s="37"/>
      <c r="BK50" s="5" t="s">
        <v>0</v>
      </c>
      <c r="BL50" s="5">
        <v>0</v>
      </c>
      <c r="BM50" s="5" t="b">
        <v>0</v>
      </c>
      <c r="CS50" s="31" t="str">
        <f t="shared" si="6"/>
        <v>.Body-Text-ContinuedTxc</v>
      </c>
    </row>
    <row r="51" spans="1:100">
      <c r="A51" s="38" t="str">
        <f t="shared" si="0"/>
        <v>Verse1 (Vrs1)</v>
      </c>
      <c r="C51" s="7" t="s">
        <v>440</v>
      </c>
      <c r="D51" s="7" t="s">
        <v>444</v>
      </c>
      <c r="E51" s="7" t="s">
        <v>456</v>
      </c>
      <c r="F51" s="5">
        <v>1</v>
      </c>
      <c r="G51" s="7" t="b">
        <v>1</v>
      </c>
      <c r="H51" s="5">
        <v>1</v>
      </c>
      <c r="I51" s="5" t="s">
        <v>67</v>
      </c>
      <c r="J51" s="5">
        <v>11</v>
      </c>
      <c r="K51" s="7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7">
        <v>36</v>
      </c>
      <c r="AB51" s="7">
        <v>0</v>
      </c>
      <c r="AC51" s="7">
        <v>6</v>
      </c>
      <c r="AD51" s="7">
        <v>6</v>
      </c>
      <c r="AE51" s="7">
        <v>2</v>
      </c>
      <c r="AF51" s="7">
        <v>24</v>
      </c>
      <c r="AG51" s="7">
        <v>0</v>
      </c>
      <c r="AH51" s="7">
        <v>0</v>
      </c>
      <c r="AI51" s="7">
        <v>10</v>
      </c>
      <c r="AJ51" s="7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39" t="s">
        <v>672</v>
      </c>
      <c r="AR51" s="5">
        <v>1</v>
      </c>
      <c r="AS51" s="7">
        <v>36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9" t="s">
        <v>66</v>
      </c>
      <c r="BJ51" s="37"/>
      <c r="BK51" s="5" t="s">
        <v>0</v>
      </c>
      <c r="BL51" s="5">
        <v>0</v>
      </c>
      <c r="BM51" s="5" t="b">
        <v>0</v>
      </c>
      <c r="BW51" s="7" t="b">
        <v>1</v>
      </c>
      <c r="CS51" s="31" t="str">
        <f t="shared" si="6"/>
        <v>.Verse1Vrs1</v>
      </c>
    </row>
    <row r="52" spans="1:100">
      <c r="A52" s="38" t="str">
        <f t="shared" si="0"/>
        <v>Verse1-indent1 (Vrs1-i1)</v>
      </c>
      <c r="C52" s="7" t="s">
        <v>441</v>
      </c>
      <c r="D52" s="7" t="s">
        <v>445</v>
      </c>
      <c r="E52" s="7" t="s">
        <v>456</v>
      </c>
      <c r="F52" s="5">
        <v>1</v>
      </c>
      <c r="G52" s="7" t="b">
        <v>0</v>
      </c>
      <c r="H52" s="5">
        <v>1</v>
      </c>
      <c r="I52" s="5" t="s">
        <v>67</v>
      </c>
      <c r="J52" s="5">
        <v>11</v>
      </c>
      <c r="K52" s="7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7">
        <v>72</v>
      </c>
      <c r="AB52" s="7">
        <v>0</v>
      </c>
      <c r="AC52" s="7">
        <v>6</v>
      </c>
      <c r="AD52" s="7">
        <v>6</v>
      </c>
      <c r="AE52" s="7">
        <v>2</v>
      </c>
      <c r="AF52" s="7">
        <v>24</v>
      </c>
      <c r="AG52" s="7">
        <v>0</v>
      </c>
      <c r="AH52" s="7">
        <v>0</v>
      </c>
      <c r="AI52" s="7">
        <v>10</v>
      </c>
      <c r="AJ52" s="7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39" t="s">
        <v>672</v>
      </c>
      <c r="AR52" s="5">
        <v>1</v>
      </c>
      <c r="AS52" s="7">
        <v>36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9" t="s">
        <v>66</v>
      </c>
      <c r="BJ52" s="37"/>
      <c r="BK52" s="5" t="s">
        <v>0</v>
      </c>
      <c r="BL52" s="5">
        <v>0</v>
      </c>
      <c r="BM52" s="5" t="b">
        <v>0</v>
      </c>
      <c r="BW52" s="7" t="b">
        <v>1</v>
      </c>
      <c r="CS52" s="31" t="str">
        <f t="shared" ref="CS52:CS59" si="8">"."&amp;SUBSTITUTE(SUBSTITUTE(SUBSTITUTE(SUBSTITUTE(A52, "(",""),")","")," ",""),"#","")</f>
        <v>.Verse1-indent1Vrs1-i1</v>
      </c>
    </row>
    <row r="53" spans="1:100">
      <c r="A53" s="38" t="str">
        <f t="shared" si="0"/>
        <v>Verse1-indent2 (Vrs1-i2)</v>
      </c>
      <c r="C53" s="7" t="s">
        <v>442</v>
      </c>
      <c r="D53" s="7" t="s">
        <v>446</v>
      </c>
      <c r="E53" s="7" t="s">
        <v>456</v>
      </c>
      <c r="F53" s="5">
        <v>1</v>
      </c>
      <c r="G53" s="7" t="b">
        <v>0</v>
      </c>
      <c r="H53" s="5">
        <v>1</v>
      </c>
      <c r="I53" s="5" t="s">
        <v>67</v>
      </c>
      <c r="J53" s="5">
        <v>11</v>
      </c>
      <c r="K53" s="7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7">
        <v>108</v>
      </c>
      <c r="AB53" s="7">
        <v>0</v>
      </c>
      <c r="AC53" s="7">
        <v>6</v>
      </c>
      <c r="AD53" s="7">
        <v>6</v>
      </c>
      <c r="AE53" s="7">
        <v>2</v>
      </c>
      <c r="AF53" s="7">
        <v>24</v>
      </c>
      <c r="AG53" s="7">
        <v>0</v>
      </c>
      <c r="AH53" s="7">
        <v>0</v>
      </c>
      <c r="AI53" s="7">
        <v>10</v>
      </c>
      <c r="AJ53" s="7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39" t="s">
        <v>672</v>
      </c>
      <c r="AR53" s="5">
        <v>1</v>
      </c>
      <c r="AS53" s="7">
        <v>36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9" t="s">
        <v>66</v>
      </c>
      <c r="BJ53" s="37"/>
      <c r="BK53" s="5" t="s">
        <v>0</v>
      </c>
      <c r="BL53" s="5">
        <v>0</v>
      </c>
      <c r="BM53" s="5" t="b">
        <v>0</v>
      </c>
      <c r="BW53" s="7" t="b">
        <v>1</v>
      </c>
      <c r="CS53" s="31" t="str">
        <f t="shared" si="8"/>
        <v>.Verse1-indent2Vrs1-i2</v>
      </c>
    </row>
    <row r="54" spans="1:100">
      <c r="A54" s="38" t="str">
        <f t="shared" si="0"/>
        <v>Verse1-indent3 (Vrs1-i3)</v>
      </c>
      <c r="C54" s="7" t="s">
        <v>443</v>
      </c>
      <c r="D54" s="7" t="s">
        <v>447</v>
      </c>
      <c r="E54" s="7" t="s">
        <v>456</v>
      </c>
      <c r="F54" s="5">
        <v>1</v>
      </c>
      <c r="G54" s="7" t="b">
        <v>0</v>
      </c>
      <c r="H54" s="5">
        <v>1</v>
      </c>
      <c r="I54" s="5" t="s">
        <v>67</v>
      </c>
      <c r="J54" s="5">
        <v>11</v>
      </c>
      <c r="K54" s="7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7">
        <v>144</v>
      </c>
      <c r="AB54" s="7">
        <v>0</v>
      </c>
      <c r="AC54" s="7">
        <v>6</v>
      </c>
      <c r="AD54" s="7">
        <v>6</v>
      </c>
      <c r="AE54" s="7">
        <v>2</v>
      </c>
      <c r="AF54" s="7">
        <v>24</v>
      </c>
      <c r="AG54" s="7">
        <v>0</v>
      </c>
      <c r="AH54" s="7">
        <v>0</v>
      </c>
      <c r="AI54" s="7">
        <v>10</v>
      </c>
      <c r="AJ54" s="7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39" t="s">
        <v>672</v>
      </c>
      <c r="AR54" s="5">
        <v>1</v>
      </c>
      <c r="AS54" s="7">
        <v>36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9" t="s">
        <v>66</v>
      </c>
      <c r="BJ54" s="37"/>
      <c r="BK54" s="5" t="s">
        <v>0</v>
      </c>
      <c r="BL54" s="5">
        <v>0</v>
      </c>
      <c r="BM54" s="5" t="b">
        <v>0</v>
      </c>
      <c r="BW54" s="7" t="b">
        <v>1</v>
      </c>
      <c r="CS54" s="31" t="str">
        <f t="shared" si="8"/>
        <v>.Verse1-indent3Vrs1-i3</v>
      </c>
    </row>
    <row r="55" spans="1:100">
      <c r="A55" s="38" t="str">
        <f t="shared" si="0"/>
        <v>Verse2 (Vrs2)</v>
      </c>
      <c r="C55" s="7" t="s">
        <v>448</v>
      </c>
      <c r="D55" s="7" t="s">
        <v>449</v>
      </c>
      <c r="E55" s="7" t="s">
        <v>457</v>
      </c>
      <c r="F55" s="5">
        <v>1</v>
      </c>
      <c r="G55" s="7" t="b">
        <v>1</v>
      </c>
      <c r="H55" s="5">
        <v>1</v>
      </c>
      <c r="I55" s="5" t="s">
        <v>67</v>
      </c>
      <c r="J55" s="5">
        <v>11</v>
      </c>
      <c r="K55" s="7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7">
        <v>36</v>
      </c>
      <c r="AB55" s="7">
        <v>0</v>
      </c>
      <c r="AC55" s="7">
        <v>6</v>
      </c>
      <c r="AD55" s="7">
        <v>6</v>
      </c>
      <c r="AE55" s="7">
        <v>2</v>
      </c>
      <c r="AF55" s="7">
        <v>24</v>
      </c>
      <c r="AG55" s="7">
        <v>0</v>
      </c>
      <c r="AH55" s="7">
        <v>0</v>
      </c>
      <c r="AI55" s="7">
        <v>10</v>
      </c>
      <c r="AJ55" s="7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39" t="s">
        <v>672</v>
      </c>
      <c r="AR55" s="5">
        <v>7</v>
      </c>
      <c r="AS55" s="7">
        <v>18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9" t="s">
        <v>66</v>
      </c>
      <c r="BJ55" s="37"/>
      <c r="BK55" s="5" t="s">
        <v>0</v>
      </c>
      <c r="BL55" s="5">
        <v>0</v>
      </c>
      <c r="BM55" s="5" t="b">
        <v>0</v>
      </c>
      <c r="BW55" s="7" t="b">
        <v>1</v>
      </c>
      <c r="CS55" s="31" t="str">
        <f t="shared" si="8"/>
        <v>.Verse2Vrs2</v>
      </c>
    </row>
    <row r="56" spans="1:100">
      <c r="A56" s="38" t="str">
        <f t="shared" si="0"/>
        <v>Verse2-indent1 (Vrs2-i1)</v>
      </c>
      <c r="C56" s="7" t="s">
        <v>450</v>
      </c>
      <c r="D56" s="7" t="s">
        <v>453</v>
      </c>
      <c r="E56" s="7" t="s">
        <v>457</v>
      </c>
      <c r="F56" s="5">
        <v>1</v>
      </c>
      <c r="G56" s="7" t="b">
        <v>0</v>
      </c>
      <c r="H56" s="5">
        <v>1</v>
      </c>
      <c r="I56" s="5" t="s">
        <v>67</v>
      </c>
      <c r="J56" s="5">
        <v>11</v>
      </c>
      <c r="K56" s="7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7">
        <v>72</v>
      </c>
      <c r="AB56" s="7">
        <v>0</v>
      </c>
      <c r="AC56" s="7">
        <v>6</v>
      </c>
      <c r="AD56" s="7">
        <v>6</v>
      </c>
      <c r="AE56" s="7">
        <v>2</v>
      </c>
      <c r="AF56" s="7">
        <v>24</v>
      </c>
      <c r="AG56" s="7">
        <v>0</v>
      </c>
      <c r="AH56" s="7">
        <v>0</v>
      </c>
      <c r="AI56" s="7">
        <v>10</v>
      </c>
      <c r="AJ56" s="7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39" t="s">
        <v>672</v>
      </c>
      <c r="AR56" s="5">
        <v>7</v>
      </c>
      <c r="AS56" s="7">
        <v>18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9" t="s">
        <v>66</v>
      </c>
      <c r="BJ56" s="37"/>
      <c r="BK56" s="5" t="s">
        <v>0</v>
      </c>
      <c r="BL56" s="5">
        <v>0</v>
      </c>
      <c r="BM56" s="5" t="b">
        <v>0</v>
      </c>
      <c r="BW56" s="7" t="b">
        <v>1</v>
      </c>
      <c r="CS56" s="31" t="str">
        <f t="shared" si="8"/>
        <v>.Verse2-indent1Vrs2-i1</v>
      </c>
    </row>
    <row r="57" spans="1:100">
      <c r="A57" s="38" t="str">
        <f t="shared" si="0"/>
        <v>Verse2-indent2 (Vrs2-i2)</v>
      </c>
      <c r="C57" s="7" t="s">
        <v>451</v>
      </c>
      <c r="D57" s="7" t="s">
        <v>454</v>
      </c>
      <c r="E57" s="7" t="s">
        <v>457</v>
      </c>
      <c r="F57" s="5">
        <v>1</v>
      </c>
      <c r="G57" s="7" t="b">
        <v>0</v>
      </c>
      <c r="H57" s="5">
        <v>1</v>
      </c>
      <c r="I57" s="5" t="s">
        <v>67</v>
      </c>
      <c r="J57" s="5">
        <v>11</v>
      </c>
      <c r="K57" s="7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7">
        <v>108</v>
      </c>
      <c r="AB57" s="7">
        <v>0</v>
      </c>
      <c r="AC57" s="7">
        <v>6</v>
      </c>
      <c r="AD57" s="7">
        <v>6</v>
      </c>
      <c r="AE57" s="7">
        <v>2</v>
      </c>
      <c r="AF57" s="7">
        <v>24</v>
      </c>
      <c r="AG57" s="7">
        <v>0</v>
      </c>
      <c r="AH57" s="7">
        <v>0</v>
      </c>
      <c r="AI57" s="7">
        <v>10</v>
      </c>
      <c r="AJ57" s="7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39" t="s">
        <v>672</v>
      </c>
      <c r="AR57" s="5">
        <v>7</v>
      </c>
      <c r="AS57" s="7">
        <v>18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9" t="s">
        <v>66</v>
      </c>
      <c r="BJ57" s="37"/>
      <c r="BK57" s="5" t="s">
        <v>0</v>
      </c>
      <c r="BL57" s="5">
        <v>0</v>
      </c>
      <c r="BM57" s="5" t="b">
        <v>0</v>
      </c>
      <c r="BW57" s="7" t="b">
        <v>1</v>
      </c>
      <c r="CS57" s="31" t="str">
        <f t="shared" si="8"/>
        <v>.Verse2-indent2Vrs2-i2</v>
      </c>
    </row>
    <row r="58" spans="1:100">
      <c r="A58" s="38" t="str">
        <f t="shared" si="0"/>
        <v>Verse2-indent3 (Vrs2-i3)</v>
      </c>
      <c r="C58" s="7" t="s">
        <v>452</v>
      </c>
      <c r="D58" s="7" t="s">
        <v>455</v>
      </c>
      <c r="E58" s="7" t="s">
        <v>457</v>
      </c>
      <c r="F58" s="5">
        <v>1</v>
      </c>
      <c r="G58" s="7" t="b">
        <v>0</v>
      </c>
      <c r="H58" s="5">
        <v>1</v>
      </c>
      <c r="I58" s="5" t="s">
        <v>67</v>
      </c>
      <c r="J58" s="5">
        <v>11</v>
      </c>
      <c r="K58" s="7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7">
        <v>144</v>
      </c>
      <c r="AB58" s="7">
        <v>0</v>
      </c>
      <c r="AC58" s="7">
        <v>6</v>
      </c>
      <c r="AD58" s="7">
        <v>6</v>
      </c>
      <c r="AE58" s="7">
        <v>2</v>
      </c>
      <c r="AF58" s="7">
        <v>24</v>
      </c>
      <c r="AG58" s="7">
        <v>0</v>
      </c>
      <c r="AH58" s="7">
        <v>0</v>
      </c>
      <c r="AI58" s="7">
        <v>10</v>
      </c>
      <c r="AJ58" s="7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39" t="s">
        <v>672</v>
      </c>
      <c r="AR58" s="5">
        <v>7</v>
      </c>
      <c r="AS58" s="7">
        <v>18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9" t="s">
        <v>66</v>
      </c>
      <c r="BJ58" s="37"/>
      <c r="BK58" s="5" t="s">
        <v>0</v>
      </c>
      <c r="BL58" s="5">
        <v>0</v>
      </c>
      <c r="BM58" s="5" t="b">
        <v>0</v>
      </c>
      <c r="BW58" s="7" t="b">
        <v>1</v>
      </c>
      <c r="CS58" s="31" t="str">
        <f t="shared" si="8"/>
        <v>.Verse2-indent3Vrs2-i3</v>
      </c>
    </row>
    <row r="59" spans="1:100">
      <c r="A59" s="38" t="str">
        <f t="shared" si="0"/>
        <v>Quotation (Quo)</v>
      </c>
      <c r="C59" s="7" t="s">
        <v>352</v>
      </c>
      <c r="D59" s="7" t="s">
        <v>571</v>
      </c>
      <c r="E59" s="7" t="s">
        <v>572</v>
      </c>
      <c r="F59" s="5">
        <v>1</v>
      </c>
      <c r="G59" s="7" t="b">
        <v>0</v>
      </c>
      <c r="H59" s="5">
        <v>1</v>
      </c>
      <c r="I59" s="5" t="s">
        <v>67</v>
      </c>
      <c r="J59" s="5">
        <v>11</v>
      </c>
      <c r="K59" s="7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7">
        <v>36</v>
      </c>
      <c r="AB59" s="7">
        <v>0</v>
      </c>
      <c r="AC59" s="7">
        <v>6</v>
      </c>
      <c r="AD59" s="7">
        <v>6</v>
      </c>
      <c r="AE59" s="7">
        <v>2</v>
      </c>
      <c r="AF59" s="7">
        <v>24</v>
      </c>
      <c r="AG59" s="7">
        <v>0</v>
      </c>
      <c r="AH59" s="7">
        <v>36</v>
      </c>
      <c r="AI59" s="7">
        <v>10</v>
      </c>
      <c r="AJ59" s="7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39" t="s">
        <v>672</v>
      </c>
      <c r="AR59" s="5">
        <v>1</v>
      </c>
      <c r="AS59" s="7">
        <v>36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9" t="s">
        <v>66</v>
      </c>
      <c r="BJ59" s="37"/>
      <c r="BK59" s="5" t="s">
        <v>0</v>
      </c>
      <c r="BL59" s="5">
        <v>0</v>
      </c>
      <c r="BM59" s="5" t="b">
        <v>0</v>
      </c>
      <c r="CS59" s="31" t="str">
        <f t="shared" si="8"/>
        <v>.QuotationQuo</v>
      </c>
    </row>
    <row r="60" spans="1:100">
      <c r="A60" s="38" t="str">
        <f t="shared" si="0"/>
        <v>Extract1 (Ext1)</v>
      </c>
      <c r="C60" s="7" t="s">
        <v>458</v>
      </c>
      <c r="D60" s="7" t="s">
        <v>459</v>
      </c>
      <c r="E60" s="7" t="s">
        <v>462</v>
      </c>
      <c r="F60" s="5">
        <v>1</v>
      </c>
      <c r="G60" s="7" t="b">
        <v>1</v>
      </c>
      <c r="H60" s="5">
        <v>1</v>
      </c>
      <c r="I60" s="5" t="s">
        <v>67</v>
      </c>
      <c r="J60" s="5">
        <v>11</v>
      </c>
      <c r="K60" s="7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7">
        <v>36</v>
      </c>
      <c r="AB60" s="7">
        <v>0</v>
      </c>
      <c r="AC60" s="7">
        <v>6</v>
      </c>
      <c r="AD60" s="7">
        <v>6</v>
      </c>
      <c r="AE60" s="7">
        <v>2</v>
      </c>
      <c r="AF60" s="7">
        <v>24</v>
      </c>
      <c r="AG60" s="7">
        <v>0</v>
      </c>
      <c r="AH60" s="7">
        <v>36</v>
      </c>
      <c r="AI60" s="7">
        <v>10</v>
      </c>
      <c r="AJ60" s="7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39" t="s">
        <v>672</v>
      </c>
      <c r="AR60" s="5">
        <v>1</v>
      </c>
      <c r="AS60" s="7">
        <v>36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9" t="s">
        <v>66</v>
      </c>
      <c r="BJ60" s="37"/>
      <c r="BK60" s="5" t="s">
        <v>0</v>
      </c>
      <c r="BL60" s="5">
        <v>0</v>
      </c>
      <c r="BM60" s="5" t="b">
        <v>0</v>
      </c>
      <c r="BU60" s="7" t="b">
        <v>1</v>
      </c>
      <c r="CS60" s="31" t="str">
        <f t="shared" ref="CS60:CS61" si="9">"."&amp;SUBSTITUTE(SUBSTITUTE(SUBSTITUTE(SUBSTITUTE(A60, "(",""),")","")," ",""),"#","")</f>
        <v>.Extract1Ext1</v>
      </c>
    </row>
    <row r="61" spans="1:100">
      <c r="A61" s="38" t="str">
        <f t="shared" si="0"/>
        <v>Extract2 (Ext2)</v>
      </c>
      <c r="C61" s="7" t="s">
        <v>460</v>
      </c>
      <c r="D61" s="7" t="s">
        <v>461</v>
      </c>
      <c r="E61" s="7" t="s">
        <v>463</v>
      </c>
      <c r="F61" s="5">
        <v>1</v>
      </c>
      <c r="G61" s="7" t="b">
        <v>1</v>
      </c>
      <c r="H61" s="5">
        <v>1</v>
      </c>
      <c r="I61" s="5" t="s">
        <v>67</v>
      </c>
      <c r="J61" s="5">
        <v>11</v>
      </c>
      <c r="K61" s="7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7">
        <v>36</v>
      </c>
      <c r="AB61" s="7">
        <v>0</v>
      </c>
      <c r="AC61" s="7">
        <v>6</v>
      </c>
      <c r="AD61" s="7">
        <v>6</v>
      </c>
      <c r="AE61" s="7">
        <v>2</v>
      </c>
      <c r="AF61" s="7">
        <v>24</v>
      </c>
      <c r="AG61" s="7">
        <v>0</v>
      </c>
      <c r="AH61" s="7">
        <v>36</v>
      </c>
      <c r="AI61" s="7">
        <v>10</v>
      </c>
      <c r="AJ61" s="7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39" t="s">
        <v>672</v>
      </c>
      <c r="AR61" s="5">
        <v>7</v>
      </c>
      <c r="AS61" s="7">
        <v>18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9" t="s">
        <v>66</v>
      </c>
      <c r="BJ61" s="37"/>
      <c r="BK61" s="5" t="s">
        <v>0</v>
      </c>
      <c r="BL61" s="5">
        <v>0</v>
      </c>
      <c r="BM61" s="5" t="b">
        <v>0</v>
      </c>
      <c r="BU61" s="7" t="b">
        <v>1</v>
      </c>
      <c r="CS61" s="31" t="str">
        <f t="shared" si="9"/>
        <v>.Extract2Ext2</v>
      </c>
    </row>
    <row r="62" spans="1:100">
      <c r="A62" s="38" t="str">
        <f t="shared" si="0"/>
        <v>Source (Src)</v>
      </c>
      <c r="C62" s="7" t="s">
        <v>353</v>
      </c>
      <c r="D62" s="7" t="s">
        <v>354</v>
      </c>
      <c r="E62" s="7" t="s">
        <v>430</v>
      </c>
      <c r="F62" s="5">
        <v>1</v>
      </c>
      <c r="G62" s="7" t="b">
        <v>0</v>
      </c>
      <c r="H62" s="5">
        <v>1</v>
      </c>
      <c r="I62" s="5" t="s">
        <v>67</v>
      </c>
      <c r="J62" s="5">
        <v>11</v>
      </c>
      <c r="K62" s="7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7">
        <v>36</v>
      </c>
      <c r="AB62" s="7">
        <v>0</v>
      </c>
      <c r="AC62" s="7">
        <v>6</v>
      </c>
      <c r="AD62" s="7">
        <v>6</v>
      </c>
      <c r="AE62" s="7">
        <v>2</v>
      </c>
      <c r="AF62" s="7">
        <v>24</v>
      </c>
      <c r="AG62" s="7">
        <v>2</v>
      </c>
      <c r="AH62" s="7">
        <v>0</v>
      </c>
      <c r="AI62" s="7">
        <v>10</v>
      </c>
      <c r="AJ62" s="7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39" t="s">
        <v>672</v>
      </c>
      <c r="AR62" s="5">
        <v>1</v>
      </c>
      <c r="AS62" s="7">
        <v>36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9" t="s">
        <v>66</v>
      </c>
      <c r="BJ62" s="37"/>
      <c r="BK62" s="5" t="s">
        <v>0</v>
      </c>
      <c r="BL62" s="5">
        <v>0</v>
      </c>
      <c r="BM62" s="5" t="b">
        <v>0</v>
      </c>
      <c r="CS62" s="31" t="str">
        <f t="shared" si="6"/>
        <v>.SourceSrc</v>
      </c>
    </row>
    <row r="63" spans="1:100">
      <c r="A63" s="38" t="str">
        <f t="shared" si="0"/>
        <v>Epigraph-Non-Verse (Epi)</v>
      </c>
      <c r="C63" s="7" t="s">
        <v>464</v>
      </c>
      <c r="D63" s="7" t="s">
        <v>465</v>
      </c>
      <c r="E63" s="7" t="s">
        <v>466</v>
      </c>
      <c r="F63" s="5">
        <v>1</v>
      </c>
      <c r="G63" s="7" t="b">
        <v>1</v>
      </c>
      <c r="H63" s="5">
        <v>1</v>
      </c>
      <c r="I63" s="5" t="s">
        <v>67</v>
      </c>
      <c r="J63" s="5">
        <v>11</v>
      </c>
      <c r="K63" s="7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7">
        <v>36</v>
      </c>
      <c r="AB63" s="7">
        <v>0</v>
      </c>
      <c r="AC63" s="7">
        <v>6</v>
      </c>
      <c r="AD63" s="7">
        <v>6</v>
      </c>
      <c r="AE63" s="7">
        <v>2</v>
      </c>
      <c r="AF63" s="7">
        <v>24</v>
      </c>
      <c r="AG63" s="7">
        <v>0</v>
      </c>
      <c r="AH63" s="7">
        <v>36</v>
      </c>
      <c r="AI63" s="7">
        <v>10</v>
      </c>
      <c r="AJ63" s="7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39" t="s">
        <v>672</v>
      </c>
      <c r="AR63" s="5">
        <v>1</v>
      </c>
      <c r="AS63" s="7">
        <v>36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9" t="s">
        <v>66</v>
      </c>
      <c r="BJ63" s="37"/>
      <c r="BK63" s="5" t="s">
        <v>0</v>
      </c>
      <c r="BL63" s="5">
        <v>0</v>
      </c>
      <c r="BM63" s="5" t="b">
        <v>0</v>
      </c>
      <c r="BV63" s="7" t="b">
        <v>1</v>
      </c>
      <c r="CS63" s="31" t="str">
        <f t="shared" si="6"/>
        <v>.Epigraph-Non-VerseEpi</v>
      </c>
    </row>
    <row r="64" spans="1:100">
      <c r="A64" s="38" t="str">
        <f t="shared" si="0"/>
        <v>Epigraph-Verse (Epiv)</v>
      </c>
      <c r="C64" s="7" t="s">
        <v>467</v>
      </c>
      <c r="D64" s="7" t="s">
        <v>468</v>
      </c>
      <c r="E64" s="7" t="s">
        <v>469</v>
      </c>
      <c r="F64" s="5">
        <v>1</v>
      </c>
      <c r="G64" s="7" t="b">
        <v>1</v>
      </c>
      <c r="H64" s="5">
        <v>1</v>
      </c>
      <c r="I64" s="5" t="s">
        <v>67</v>
      </c>
      <c r="J64" s="5">
        <v>11</v>
      </c>
      <c r="K64" s="7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7">
        <v>36</v>
      </c>
      <c r="AB64" s="7">
        <v>0</v>
      </c>
      <c r="AC64" s="7">
        <v>6</v>
      </c>
      <c r="AD64" s="7">
        <v>6</v>
      </c>
      <c r="AE64" s="7">
        <v>2</v>
      </c>
      <c r="AF64" s="7">
        <v>24</v>
      </c>
      <c r="AG64" s="7">
        <v>0</v>
      </c>
      <c r="AH64" s="7">
        <v>0</v>
      </c>
      <c r="AI64" s="7">
        <v>10</v>
      </c>
      <c r="AJ64" s="7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39" t="s">
        <v>672</v>
      </c>
      <c r="AR64" s="5">
        <v>1</v>
      </c>
      <c r="AS64" s="7">
        <v>36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9" t="s">
        <v>66</v>
      </c>
      <c r="BJ64" s="37"/>
      <c r="BK64" s="5" t="s">
        <v>0</v>
      </c>
      <c r="BL64" s="5">
        <v>0</v>
      </c>
      <c r="BM64" s="5" t="b">
        <v>0</v>
      </c>
      <c r="BV64" s="7" t="b">
        <v>1</v>
      </c>
      <c r="CS64" s="31" t="str">
        <f t="shared" si="6"/>
        <v>.Epigraph-VerseEpiv</v>
      </c>
    </row>
    <row r="65" spans="1:97">
      <c r="A65" s="38" t="str">
        <f t="shared" si="0"/>
        <v>Epigraph-Source (Episrc)</v>
      </c>
      <c r="C65" s="7" t="s">
        <v>470</v>
      </c>
      <c r="D65" s="7" t="s">
        <v>703</v>
      </c>
      <c r="E65" s="7" t="s">
        <v>430</v>
      </c>
      <c r="F65" s="5">
        <v>1</v>
      </c>
      <c r="G65" s="7" t="b">
        <v>1</v>
      </c>
      <c r="H65" s="5">
        <v>1</v>
      </c>
      <c r="I65" s="5" t="s">
        <v>67</v>
      </c>
      <c r="J65" s="5">
        <v>11</v>
      </c>
      <c r="K65" s="7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7">
        <v>36</v>
      </c>
      <c r="AB65" s="7">
        <v>0</v>
      </c>
      <c r="AC65" s="7">
        <v>6</v>
      </c>
      <c r="AD65" s="7">
        <v>6</v>
      </c>
      <c r="AE65" s="7">
        <v>2</v>
      </c>
      <c r="AF65" s="7">
        <v>24</v>
      </c>
      <c r="AG65" s="7">
        <v>2</v>
      </c>
      <c r="AH65" s="7">
        <v>0</v>
      </c>
      <c r="AI65" s="7">
        <v>10</v>
      </c>
      <c r="AJ65" s="7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39" t="s">
        <v>672</v>
      </c>
      <c r="AR65" s="5">
        <v>1</v>
      </c>
      <c r="AS65" s="7">
        <v>36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9" t="s">
        <v>66</v>
      </c>
      <c r="BJ65" s="37"/>
      <c r="BK65" s="5" t="s">
        <v>0</v>
      </c>
      <c r="BL65" s="5">
        <v>0</v>
      </c>
      <c r="BM65" s="5" t="b">
        <v>0</v>
      </c>
      <c r="BV65" s="7" t="b">
        <v>1</v>
      </c>
      <c r="CS65" s="31" t="str">
        <f t="shared" si="6"/>
        <v>.Epigraph-SourceEpisrc</v>
      </c>
    </row>
    <row r="66" spans="1:97">
      <c r="A66" s="38" t="str">
        <f t="shared" si="0"/>
        <v>Headnote (Hdnt)</v>
      </c>
      <c r="C66" s="7" t="s">
        <v>341</v>
      </c>
      <c r="D66" s="7" t="s">
        <v>595</v>
      </c>
      <c r="E66" s="7" t="s">
        <v>430</v>
      </c>
      <c r="F66" s="5">
        <v>1</v>
      </c>
      <c r="G66" s="7" t="b">
        <v>0</v>
      </c>
      <c r="H66" s="5">
        <v>1</v>
      </c>
      <c r="I66" s="5" t="s">
        <v>67</v>
      </c>
      <c r="J66" s="5">
        <v>11</v>
      </c>
      <c r="K66" s="7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0</v>
      </c>
      <c r="Y66" s="5" t="b">
        <v>0</v>
      </c>
      <c r="Z66" s="5" t="b">
        <v>0</v>
      </c>
      <c r="AA66" s="7">
        <v>0</v>
      </c>
      <c r="AB66" s="7">
        <v>0</v>
      </c>
      <c r="AC66" s="7">
        <v>6</v>
      </c>
      <c r="AD66" s="7">
        <v>6</v>
      </c>
      <c r="AE66" s="7">
        <v>2</v>
      </c>
      <c r="AF66" s="7">
        <v>24</v>
      </c>
      <c r="AG66" s="7">
        <v>1</v>
      </c>
      <c r="AH66" s="7">
        <v>36</v>
      </c>
      <c r="AI66" s="7">
        <v>10</v>
      </c>
      <c r="AJ66" s="7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39" t="s">
        <v>672</v>
      </c>
      <c r="AR66" s="5">
        <v>1</v>
      </c>
      <c r="AS66" s="7">
        <v>36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9" t="s">
        <v>66</v>
      </c>
      <c r="BJ66" s="37"/>
      <c r="BK66" s="5" t="s">
        <v>0</v>
      </c>
      <c r="BL66" s="5">
        <v>0</v>
      </c>
      <c r="BM66" s="5" t="b">
        <v>0</v>
      </c>
      <c r="CS66" s="31" t="str">
        <f t="shared" ref="CS66" si="10">"."&amp;SUBSTITUTE(SUBSTITUTE(SUBSTITUTE(SUBSTITUTE(A66, "(",""),")","")," ",""),"#","")</f>
        <v>.HeadnoteHdnt</v>
      </c>
    </row>
    <row r="67" spans="1:97">
      <c r="A67" s="38" t="str">
        <f t="shared" si="0"/>
        <v>Dateline (Date)</v>
      </c>
      <c r="C67" s="7" t="s">
        <v>355</v>
      </c>
      <c r="D67" s="7" t="s">
        <v>356</v>
      </c>
      <c r="E67" s="7" t="s">
        <v>586</v>
      </c>
      <c r="F67" s="5">
        <v>1</v>
      </c>
      <c r="G67" s="7" t="b">
        <v>0</v>
      </c>
      <c r="H67" s="5">
        <v>1</v>
      </c>
      <c r="I67" s="5" t="s">
        <v>67</v>
      </c>
      <c r="J67" s="5">
        <v>11</v>
      </c>
      <c r="K67" s="7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7">
        <v>0</v>
      </c>
      <c r="AB67" s="7">
        <v>0</v>
      </c>
      <c r="AC67" s="7">
        <v>6</v>
      </c>
      <c r="AD67" s="7">
        <v>6</v>
      </c>
      <c r="AE67" s="7">
        <v>2</v>
      </c>
      <c r="AF67" s="7">
        <v>24</v>
      </c>
      <c r="AG67" s="7">
        <v>0</v>
      </c>
      <c r="AH67" s="7">
        <v>0</v>
      </c>
      <c r="AI67" s="7">
        <v>10</v>
      </c>
      <c r="AJ67" s="7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39" t="s">
        <v>672</v>
      </c>
      <c r="AR67" s="5">
        <v>1</v>
      </c>
      <c r="AS67" s="7">
        <v>36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9" t="s">
        <v>66</v>
      </c>
      <c r="BJ67" s="37"/>
      <c r="BK67" s="5" t="s">
        <v>0</v>
      </c>
      <c r="BL67" s="5">
        <v>0</v>
      </c>
      <c r="BM67" s="5" t="b">
        <v>0</v>
      </c>
      <c r="CS67" s="31" t="str">
        <f t="shared" si="6"/>
        <v>.DatelineDate</v>
      </c>
    </row>
    <row r="68" spans="1:97">
      <c r="A68" s="38" t="str">
        <f t="shared" si="0"/>
        <v>Address (Add)</v>
      </c>
      <c r="C68" s="7" t="s">
        <v>203</v>
      </c>
      <c r="D68" s="7" t="s">
        <v>357</v>
      </c>
      <c r="E68" s="38" t="str">
        <f t="shared" ref="E68:E118" si="11">IF($D68="","",TRIM($C68)&amp;" "&amp;CHAR(40)&amp;TRIM($D68)&amp;CHAR(41))</f>
        <v>Address (Add)</v>
      </c>
      <c r="F68" s="5">
        <v>1</v>
      </c>
      <c r="G68" s="7" t="b">
        <v>0</v>
      </c>
      <c r="H68" s="5">
        <v>1</v>
      </c>
      <c r="I68" s="5" t="s">
        <v>67</v>
      </c>
      <c r="J68" s="5">
        <v>11</v>
      </c>
      <c r="K68" s="7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7">
        <v>0</v>
      </c>
      <c r="AB68" s="7">
        <v>0</v>
      </c>
      <c r="AC68" s="7">
        <v>6</v>
      </c>
      <c r="AD68" s="7">
        <v>6</v>
      </c>
      <c r="AE68" s="7">
        <v>2</v>
      </c>
      <c r="AF68" s="7">
        <v>24</v>
      </c>
      <c r="AG68" s="7">
        <v>0</v>
      </c>
      <c r="AH68" s="7">
        <v>0</v>
      </c>
      <c r="AI68" s="7">
        <v>10</v>
      </c>
      <c r="AJ68" s="7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39" t="s">
        <v>672</v>
      </c>
      <c r="AR68" s="5">
        <v>1</v>
      </c>
      <c r="AS68" s="7">
        <v>36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9" t="s">
        <v>66</v>
      </c>
      <c r="BJ68" s="37"/>
      <c r="BK68" s="5" t="s">
        <v>0</v>
      </c>
      <c r="BL68" s="5">
        <v>0</v>
      </c>
      <c r="BM68" s="5" t="b">
        <v>0</v>
      </c>
      <c r="CS68" s="31" t="str">
        <f t="shared" si="6"/>
        <v>.AddressAdd</v>
      </c>
    </row>
    <row r="69" spans="1:97">
      <c r="A69" s="38" t="str">
        <f t="shared" si="0"/>
        <v>Location (Loc)</v>
      </c>
      <c r="C69" s="7" t="s">
        <v>358</v>
      </c>
      <c r="D69" s="7" t="s">
        <v>359</v>
      </c>
      <c r="E69" s="38" t="str">
        <f t="shared" si="11"/>
        <v>Location (Loc)</v>
      </c>
      <c r="F69" s="5">
        <v>1</v>
      </c>
      <c r="G69" s="7" t="b">
        <v>0</v>
      </c>
      <c r="H69" s="5">
        <v>1</v>
      </c>
      <c r="I69" s="5" t="s">
        <v>67</v>
      </c>
      <c r="J69" s="5">
        <v>11</v>
      </c>
      <c r="K69" s="7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7">
        <v>0</v>
      </c>
      <c r="AB69" s="7">
        <v>0</v>
      </c>
      <c r="AC69" s="7">
        <v>6</v>
      </c>
      <c r="AD69" s="7">
        <v>6</v>
      </c>
      <c r="AE69" s="7">
        <v>2</v>
      </c>
      <c r="AF69" s="7">
        <v>24</v>
      </c>
      <c r="AG69" s="7">
        <v>0</v>
      </c>
      <c r="AH69" s="7">
        <v>0</v>
      </c>
      <c r="AI69" s="7">
        <v>10</v>
      </c>
      <c r="AJ69" s="7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39" t="s">
        <v>672</v>
      </c>
      <c r="AR69" s="5">
        <v>1</v>
      </c>
      <c r="AS69" s="7">
        <v>36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9" t="s">
        <v>66</v>
      </c>
      <c r="BJ69" s="37"/>
      <c r="BK69" s="5" t="s">
        <v>0</v>
      </c>
      <c r="BL69" s="5">
        <v>0</v>
      </c>
      <c r="BM69" s="5" t="b">
        <v>0</v>
      </c>
      <c r="CS69" s="31" t="str">
        <f t="shared" si="6"/>
        <v>.LocationLoc</v>
      </c>
    </row>
    <row r="70" spans="1:97">
      <c r="A70" s="38" t="str">
        <f t="shared" si="0"/>
        <v>Signature (Sig)</v>
      </c>
      <c r="C70" s="7" t="s">
        <v>360</v>
      </c>
      <c r="D70" s="7" t="s">
        <v>361</v>
      </c>
      <c r="E70" s="38" t="str">
        <f t="shared" si="11"/>
        <v>Signature (Sig)</v>
      </c>
      <c r="F70" s="5">
        <v>1</v>
      </c>
      <c r="G70" s="7" t="b">
        <v>0</v>
      </c>
      <c r="H70" s="5">
        <v>1</v>
      </c>
      <c r="I70" s="5" t="s">
        <v>67</v>
      </c>
      <c r="J70" s="5">
        <v>11</v>
      </c>
      <c r="K70" s="7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7">
        <v>0</v>
      </c>
      <c r="AB70" s="7">
        <v>0</v>
      </c>
      <c r="AC70" s="7">
        <v>6</v>
      </c>
      <c r="AD70" s="7">
        <v>6</v>
      </c>
      <c r="AE70" s="7">
        <v>2</v>
      </c>
      <c r="AF70" s="7">
        <v>24</v>
      </c>
      <c r="AG70" s="7">
        <v>2</v>
      </c>
      <c r="AH70" s="7">
        <v>0</v>
      </c>
      <c r="AI70" s="7">
        <v>10</v>
      </c>
      <c r="AJ70" s="7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39" t="s">
        <v>672</v>
      </c>
      <c r="AR70" s="5">
        <v>1</v>
      </c>
      <c r="AS70" s="7">
        <v>36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9" t="s">
        <v>66</v>
      </c>
      <c r="BJ70" s="37"/>
      <c r="BK70" s="5" t="s">
        <v>0</v>
      </c>
      <c r="BL70" s="5">
        <v>0</v>
      </c>
      <c r="BM70" s="5" t="b">
        <v>0</v>
      </c>
      <c r="CS70" s="31" t="str">
        <f t="shared" si="6"/>
        <v>.SignatureSig</v>
      </c>
    </row>
    <row r="71" spans="1:97">
      <c r="A71" s="38" t="str">
        <f t="shared" si="0"/>
        <v>Salutation (Sal)</v>
      </c>
      <c r="C71" s="7" t="s">
        <v>362</v>
      </c>
      <c r="D71" s="7" t="s">
        <v>363</v>
      </c>
      <c r="E71" s="38" t="str">
        <f t="shared" si="11"/>
        <v>Salutation (Sal)</v>
      </c>
      <c r="F71" s="5">
        <v>1</v>
      </c>
      <c r="G71" s="7" t="b">
        <v>0</v>
      </c>
      <c r="H71" s="5">
        <v>1</v>
      </c>
      <c r="I71" s="5" t="s">
        <v>67</v>
      </c>
      <c r="J71" s="5">
        <v>11</v>
      </c>
      <c r="K71" s="7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0</v>
      </c>
      <c r="Y71" s="5" t="b">
        <v>0</v>
      </c>
      <c r="Z71" s="5" t="b">
        <v>0</v>
      </c>
      <c r="AA71" s="7">
        <v>0</v>
      </c>
      <c r="AB71" s="7">
        <v>0</v>
      </c>
      <c r="AC71" s="7">
        <v>6</v>
      </c>
      <c r="AD71" s="7">
        <v>6</v>
      </c>
      <c r="AE71" s="7">
        <v>2</v>
      </c>
      <c r="AF71" s="7">
        <v>24</v>
      </c>
      <c r="AG71" s="7">
        <v>0</v>
      </c>
      <c r="AH71" s="7">
        <v>0</v>
      </c>
      <c r="AI71" s="7">
        <v>10</v>
      </c>
      <c r="AJ71" s="7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39" t="s">
        <v>672</v>
      </c>
      <c r="AR71" s="5">
        <v>1</v>
      </c>
      <c r="AS71" s="7">
        <v>36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9" t="s">
        <v>66</v>
      </c>
      <c r="BJ71" s="37"/>
      <c r="BK71" s="5" t="s">
        <v>0</v>
      </c>
      <c r="BL71" s="5">
        <v>0</v>
      </c>
      <c r="BM71" s="5" t="b">
        <v>0</v>
      </c>
      <c r="CS71" s="31" t="str">
        <f t="shared" si="6"/>
        <v>.SalutationSal</v>
      </c>
    </row>
    <row r="72" spans="1:97">
      <c r="A72" s="38" t="str">
        <f t="shared" si="0"/>
        <v>Closing (Clos)</v>
      </c>
      <c r="C72" s="7" t="s">
        <v>364</v>
      </c>
      <c r="D72" s="7" t="s">
        <v>596</v>
      </c>
      <c r="E72" s="38" t="str">
        <f t="shared" si="11"/>
        <v>Closing (Clos)</v>
      </c>
      <c r="F72" s="5">
        <v>1</v>
      </c>
      <c r="G72" s="7" t="b">
        <v>0</v>
      </c>
      <c r="H72" s="5">
        <v>1</v>
      </c>
      <c r="I72" s="5" t="s">
        <v>67</v>
      </c>
      <c r="J72" s="5">
        <v>11</v>
      </c>
      <c r="K72" s="7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7">
        <v>0</v>
      </c>
      <c r="AB72" s="7">
        <v>0</v>
      </c>
      <c r="AC72" s="7">
        <v>6</v>
      </c>
      <c r="AD72" s="7">
        <v>6</v>
      </c>
      <c r="AE72" s="7">
        <v>2</v>
      </c>
      <c r="AF72" s="7">
        <v>24</v>
      </c>
      <c r="AG72" s="7">
        <v>2</v>
      </c>
      <c r="AH72" s="7">
        <v>0</v>
      </c>
      <c r="AI72" s="7">
        <v>10</v>
      </c>
      <c r="AJ72" s="7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39" t="s">
        <v>672</v>
      </c>
      <c r="AR72" s="5">
        <v>1</v>
      </c>
      <c r="AS72" s="7">
        <v>36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9" t="s">
        <v>66</v>
      </c>
      <c r="BJ72" s="37"/>
      <c r="BK72" s="5" t="s">
        <v>0</v>
      </c>
      <c r="BL72" s="5">
        <v>0</v>
      </c>
      <c r="BM72" s="5" t="b">
        <v>0</v>
      </c>
      <c r="CS72" s="31" t="str">
        <f t="shared" si="6"/>
        <v>.ClosingClos</v>
      </c>
    </row>
    <row r="73" spans="1:97">
      <c r="A73" s="38" t="str">
        <f t="shared" si="0"/>
        <v>Postscript (Pst)</v>
      </c>
      <c r="C73" s="7" t="s">
        <v>365</v>
      </c>
      <c r="D73" s="7" t="s">
        <v>366</v>
      </c>
      <c r="E73" s="38" t="str">
        <f t="shared" si="11"/>
        <v>Postscript (Pst)</v>
      </c>
      <c r="F73" s="5">
        <v>1</v>
      </c>
      <c r="G73" s="7" t="b">
        <v>0</v>
      </c>
      <c r="H73" s="5">
        <v>1</v>
      </c>
      <c r="I73" s="5" t="s">
        <v>67</v>
      </c>
      <c r="J73" s="5">
        <v>11</v>
      </c>
      <c r="K73" s="7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7">
        <v>0</v>
      </c>
      <c r="AB73" s="7">
        <v>0</v>
      </c>
      <c r="AC73" s="7">
        <v>6</v>
      </c>
      <c r="AD73" s="7">
        <v>6</v>
      </c>
      <c r="AE73" s="7">
        <v>2</v>
      </c>
      <c r="AF73" s="7">
        <v>24</v>
      </c>
      <c r="AG73" s="7">
        <v>0</v>
      </c>
      <c r="AH73" s="7">
        <v>0</v>
      </c>
      <c r="AI73" s="7">
        <v>10</v>
      </c>
      <c r="AJ73" s="7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39" t="s">
        <v>672</v>
      </c>
      <c r="AR73" s="5">
        <v>1</v>
      </c>
      <c r="AS73" s="7">
        <v>36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9" t="s">
        <v>66</v>
      </c>
      <c r="BJ73" s="37"/>
      <c r="BK73" s="5" t="s">
        <v>0</v>
      </c>
      <c r="BL73" s="5">
        <v>0</v>
      </c>
      <c r="BM73" s="5" t="b">
        <v>0</v>
      </c>
      <c r="CS73" s="31" t="str">
        <f t="shared" si="6"/>
        <v>.PostscriptPst</v>
      </c>
    </row>
    <row r="74" spans="1:97">
      <c r="A74" s="38" t="str">
        <f t="shared" si="0"/>
        <v>Dedication (Ded)</v>
      </c>
      <c r="C74" s="7" t="s">
        <v>205</v>
      </c>
      <c r="D74" s="7" t="s">
        <v>367</v>
      </c>
      <c r="E74" s="38" t="str">
        <f t="shared" si="11"/>
        <v>Dedication (Ded)</v>
      </c>
      <c r="F74" s="5">
        <v>1</v>
      </c>
      <c r="G74" s="7" t="b">
        <v>0</v>
      </c>
      <c r="H74" s="5">
        <v>1</v>
      </c>
      <c r="I74" s="5" t="s">
        <v>67</v>
      </c>
      <c r="J74" s="5">
        <v>11</v>
      </c>
      <c r="K74" s="7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0</v>
      </c>
      <c r="Y74" s="5" t="b">
        <v>0</v>
      </c>
      <c r="Z74" s="5" t="b">
        <v>0</v>
      </c>
      <c r="AA74" s="7">
        <v>0</v>
      </c>
      <c r="AB74" s="7">
        <v>0</v>
      </c>
      <c r="AC74" s="7">
        <v>6</v>
      </c>
      <c r="AD74" s="7">
        <v>6</v>
      </c>
      <c r="AE74" s="7">
        <v>2</v>
      </c>
      <c r="AF74" s="7">
        <v>24</v>
      </c>
      <c r="AG74" s="7">
        <v>1</v>
      </c>
      <c r="AH74" s="7">
        <v>0</v>
      </c>
      <c r="AI74" s="7">
        <v>10</v>
      </c>
      <c r="AJ74" s="7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39" t="s">
        <v>672</v>
      </c>
      <c r="AR74" s="5">
        <v>1</v>
      </c>
      <c r="AS74" s="7">
        <v>36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9" t="s">
        <v>66</v>
      </c>
      <c r="BJ74" s="37"/>
      <c r="BK74" s="5" t="s">
        <v>0</v>
      </c>
      <c r="BL74" s="5">
        <v>0</v>
      </c>
      <c r="BM74" s="5" t="b">
        <v>0</v>
      </c>
      <c r="CS74" s="31" t="str">
        <f t="shared" si="6"/>
        <v>.DedicationDed</v>
      </c>
    </row>
    <row r="75" spans="1:97">
      <c r="A75" s="38" t="str">
        <f t="shared" si="0"/>
        <v>Text-Message (Tmg)</v>
      </c>
      <c r="C75" s="7" t="s">
        <v>368</v>
      </c>
      <c r="D75" s="7" t="s">
        <v>369</v>
      </c>
      <c r="E75" s="38" t="str">
        <f t="shared" si="11"/>
        <v>Text-Message (Tmg)</v>
      </c>
      <c r="F75" s="5">
        <v>1</v>
      </c>
      <c r="G75" s="7" t="b">
        <v>0</v>
      </c>
      <c r="H75" s="5">
        <v>1</v>
      </c>
      <c r="I75" s="5" t="s">
        <v>72</v>
      </c>
      <c r="J75" s="5">
        <v>11</v>
      </c>
      <c r="K75" s="7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7">
        <v>36</v>
      </c>
      <c r="AB75" s="7">
        <v>0</v>
      </c>
      <c r="AC75" s="7">
        <v>6</v>
      </c>
      <c r="AD75" s="7">
        <v>6</v>
      </c>
      <c r="AE75" s="7">
        <v>2</v>
      </c>
      <c r="AF75" s="7">
        <v>24</v>
      </c>
      <c r="AG75" s="7">
        <v>0</v>
      </c>
      <c r="AH75" s="7">
        <v>0</v>
      </c>
      <c r="AI75" s="7">
        <v>10</v>
      </c>
      <c r="AJ75" s="7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39" t="s">
        <v>672</v>
      </c>
      <c r="AR75" s="5">
        <v>1</v>
      </c>
      <c r="AS75" s="7">
        <v>36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9" t="s">
        <v>66</v>
      </c>
      <c r="BJ75" s="37"/>
      <c r="BK75" s="5" t="s">
        <v>0</v>
      </c>
      <c r="BL75" s="5">
        <v>0</v>
      </c>
      <c r="BM75" s="5" t="b">
        <v>0</v>
      </c>
      <c r="CS75" s="31" t="str">
        <f t="shared" si="6"/>
        <v>.Text-MessageTmg</v>
      </c>
    </row>
    <row r="76" spans="1:97">
      <c r="A76" s="38" t="str">
        <f t="shared" si="0"/>
        <v>Computer-Text (Comp)</v>
      </c>
      <c r="C76" s="7" t="s">
        <v>471</v>
      </c>
      <c r="D76" s="7" t="s">
        <v>472</v>
      </c>
      <c r="E76" s="38" t="s">
        <v>473</v>
      </c>
      <c r="F76" s="5">
        <v>1</v>
      </c>
      <c r="G76" s="7" t="b">
        <v>0</v>
      </c>
      <c r="H76" s="5">
        <v>1</v>
      </c>
      <c r="I76" s="5" t="s">
        <v>72</v>
      </c>
      <c r="J76" s="5">
        <v>11</v>
      </c>
      <c r="K76" s="7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7">
        <v>36</v>
      </c>
      <c r="AB76" s="7">
        <v>0</v>
      </c>
      <c r="AC76" s="7">
        <v>6</v>
      </c>
      <c r="AD76" s="7">
        <v>6</v>
      </c>
      <c r="AE76" s="7">
        <v>2</v>
      </c>
      <c r="AF76" s="7">
        <v>24</v>
      </c>
      <c r="AG76" s="7">
        <v>0</v>
      </c>
      <c r="AH76" s="7">
        <v>0</v>
      </c>
      <c r="AI76" s="7">
        <v>10</v>
      </c>
      <c r="AJ76" s="7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39" t="s">
        <v>672</v>
      </c>
      <c r="AR76" s="5">
        <v>1</v>
      </c>
      <c r="AS76" s="7">
        <v>36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9" t="s">
        <v>66</v>
      </c>
      <c r="BJ76" s="37"/>
      <c r="BK76" s="5" t="s">
        <v>0</v>
      </c>
      <c r="BL76" s="5">
        <v>0</v>
      </c>
      <c r="BM76" s="5" t="b">
        <v>0</v>
      </c>
      <c r="CS76" s="31" t="str">
        <f t="shared" ref="CS76:CS80" si="12">"."&amp;SUBSTITUTE(SUBSTITUTE(SUBSTITUTE(SUBSTITUTE(A76, "(",""),")","")," ",""),"#","")</f>
        <v>.Computer-TextComp</v>
      </c>
    </row>
    <row r="77" spans="1:97">
      <c r="A77" s="38" t="str">
        <f t="shared" si="0"/>
        <v>Custom1 (Cust1)</v>
      </c>
      <c r="C77" s="7" t="s">
        <v>562</v>
      </c>
      <c r="D77" s="7" t="s">
        <v>565</v>
      </c>
      <c r="E77" s="38" t="s">
        <v>569</v>
      </c>
      <c r="F77" s="5">
        <v>1</v>
      </c>
      <c r="G77" s="7" t="b">
        <v>0</v>
      </c>
      <c r="H77" s="5">
        <v>1</v>
      </c>
      <c r="I77" s="5" t="s">
        <v>67</v>
      </c>
      <c r="J77" s="5">
        <v>11</v>
      </c>
      <c r="K77" s="7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7">
        <v>0</v>
      </c>
      <c r="AB77" s="7">
        <v>0</v>
      </c>
      <c r="AC77" s="7">
        <v>6</v>
      </c>
      <c r="AD77" s="7">
        <v>6</v>
      </c>
      <c r="AE77" s="7">
        <v>2</v>
      </c>
      <c r="AF77" s="7">
        <v>24</v>
      </c>
      <c r="AG77" s="7">
        <v>0</v>
      </c>
      <c r="AH77" s="7">
        <v>0</v>
      </c>
      <c r="AI77" s="7">
        <v>10</v>
      </c>
      <c r="AJ77" s="7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39" t="s">
        <v>672</v>
      </c>
      <c r="AR77" s="5">
        <v>1</v>
      </c>
      <c r="AS77" s="7">
        <v>36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9" t="s">
        <v>66</v>
      </c>
      <c r="BJ77" s="37"/>
      <c r="BK77" s="5" t="s">
        <v>0</v>
      </c>
      <c r="BL77" s="5">
        <v>0</v>
      </c>
      <c r="BM77" s="5" t="b">
        <v>0</v>
      </c>
      <c r="CS77" s="31" t="str">
        <f t="shared" si="12"/>
        <v>.Custom1Cust1</v>
      </c>
    </row>
    <row r="78" spans="1:97">
      <c r="A78" s="38" t="str">
        <f t="shared" si="0"/>
        <v>Custom2 (Cust2)</v>
      </c>
      <c r="C78" s="7" t="s">
        <v>563</v>
      </c>
      <c r="D78" s="7" t="s">
        <v>564</v>
      </c>
      <c r="E78" s="38" t="s">
        <v>570</v>
      </c>
      <c r="F78" s="5">
        <v>1</v>
      </c>
      <c r="G78" s="7" t="b">
        <v>0</v>
      </c>
      <c r="H78" s="5">
        <v>1</v>
      </c>
      <c r="I78" s="5" t="s">
        <v>67</v>
      </c>
      <c r="J78" s="5">
        <v>11</v>
      </c>
      <c r="K78" s="7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7">
        <v>0</v>
      </c>
      <c r="AB78" s="7">
        <v>0</v>
      </c>
      <c r="AC78" s="7">
        <v>6</v>
      </c>
      <c r="AD78" s="7">
        <v>6</v>
      </c>
      <c r="AE78" s="7">
        <v>2</v>
      </c>
      <c r="AF78" s="7">
        <v>24</v>
      </c>
      <c r="AG78" s="7">
        <v>0</v>
      </c>
      <c r="AH78" s="7">
        <v>0</v>
      </c>
      <c r="AI78" s="7">
        <v>10</v>
      </c>
      <c r="AJ78" s="7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39" t="s">
        <v>672</v>
      </c>
      <c r="AR78" s="5">
        <v>7</v>
      </c>
      <c r="AS78" s="7">
        <v>18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9" t="s">
        <v>66</v>
      </c>
      <c r="BJ78" s="37"/>
      <c r="BK78" s="5" t="s">
        <v>0</v>
      </c>
      <c r="BL78" s="5">
        <v>0</v>
      </c>
      <c r="BM78" s="5" t="b">
        <v>0</v>
      </c>
      <c r="CS78" s="31" t="str">
        <f t="shared" si="12"/>
        <v>.Custom2Cust2</v>
      </c>
    </row>
    <row r="79" spans="1:97">
      <c r="A79" s="38" t="str">
        <f t="shared" si="0"/>
        <v>Display1 (Disp1)</v>
      </c>
      <c r="C79" s="7" t="s">
        <v>474</v>
      </c>
      <c r="D79" s="7" t="s">
        <v>475</v>
      </c>
      <c r="E79" s="38" t="s">
        <v>476</v>
      </c>
      <c r="F79" s="5">
        <v>1</v>
      </c>
      <c r="G79" s="7" t="b">
        <v>0</v>
      </c>
      <c r="H79" s="5">
        <v>1</v>
      </c>
      <c r="I79" s="5" t="s">
        <v>67</v>
      </c>
      <c r="J79" s="5">
        <v>11</v>
      </c>
      <c r="K79" s="7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7">
        <v>0</v>
      </c>
      <c r="AB79" s="7">
        <v>0</v>
      </c>
      <c r="AC79" s="7">
        <v>6</v>
      </c>
      <c r="AD79" s="7">
        <v>6</v>
      </c>
      <c r="AE79" s="7">
        <v>2</v>
      </c>
      <c r="AF79" s="7">
        <v>24</v>
      </c>
      <c r="AG79" s="7">
        <v>0</v>
      </c>
      <c r="AH79" s="7">
        <v>0</v>
      </c>
      <c r="AI79" s="7">
        <v>10</v>
      </c>
      <c r="AJ79" s="7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39" t="s">
        <v>672</v>
      </c>
      <c r="AR79" s="5">
        <v>1</v>
      </c>
      <c r="AS79" s="7">
        <v>36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9" t="s">
        <v>66</v>
      </c>
      <c r="BJ79" s="37"/>
      <c r="BK79" s="5" t="s">
        <v>0</v>
      </c>
      <c r="BL79" s="5">
        <v>0</v>
      </c>
      <c r="BM79" s="5" t="b">
        <v>0</v>
      </c>
      <c r="CS79" s="31" t="str">
        <f t="shared" si="12"/>
        <v>.Display1Disp1</v>
      </c>
    </row>
    <row r="80" spans="1:97">
      <c r="A80" s="38" t="str">
        <f t="shared" si="0"/>
        <v>Display2 (Disp2)</v>
      </c>
      <c r="C80" s="7" t="s">
        <v>477</v>
      </c>
      <c r="D80" s="7" t="s">
        <v>478</v>
      </c>
      <c r="E80" s="38" t="s">
        <v>479</v>
      </c>
      <c r="F80" s="5">
        <v>1</v>
      </c>
      <c r="G80" s="7" t="b">
        <v>0</v>
      </c>
      <c r="H80" s="5">
        <v>1</v>
      </c>
      <c r="I80" s="5" t="s">
        <v>67</v>
      </c>
      <c r="J80" s="5">
        <v>11</v>
      </c>
      <c r="K80" s="7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7">
        <v>0</v>
      </c>
      <c r="AB80" s="7">
        <v>0</v>
      </c>
      <c r="AC80" s="7">
        <v>6</v>
      </c>
      <c r="AD80" s="7">
        <v>6</v>
      </c>
      <c r="AE80" s="7">
        <v>2</v>
      </c>
      <c r="AF80" s="7">
        <v>24</v>
      </c>
      <c r="AG80" s="7">
        <v>0</v>
      </c>
      <c r="AH80" s="7">
        <v>0</v>
      </c>
      <c r="AI80" s="7">
        <v>10</v>
      </c>
      <c r="AJ80" s="7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39" t="s">
        <v>672</v>
      </c>
      <c r="AR80" s="5">
        <v>7</v>
      </c>
      <c r="AS80" s="7">
        <v>18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9" t="s">
        <v>66</v>
      </c>
      <c r="BJ80" s="37"/>
      <c r="BK80" s="5" t="s">
        <v>0</v>
      </c>
      <c r="BL80" s="5">
        <v>0</v>
      </c>
      <c r="BM80" s="5" t="b">
        <v>0</v>
      </c>
      <c r="CS80" s="31" t="str">
        <f t="shared" si="12"/>
        <v>.Display2Disp2</v>
      </c>
    </row>
    <row r="81" spans="1:97">
      <c r="A81" s="38" t="str">
        <f>IF($D81="","",TRIM($C81)&amp;" "&amp;CHAR(40)&amp;TRIM($D81)&amp;CHAR(41))</f>
        <v>Table-Head (Tbhd)</v>
      </c>
      <c r="C81" s="7" t="s">
        <v>480</v>
      </c>
      <c r="D81" s="7" t="s">
        <v>481</v>
      </c>
      <c r="E81" s="38" t="s">
        <v>482</v>
      </c>
      <c r="F81" s="5">
        <v>1</v>
      </c>
      <c r="G81" s="7" t="b">
        <v>0</v>
      </c>
      <c r="H81" s="5">
        <v>1</v>
      </c>
      <c r="I81" s="5" t="s">
        <v>1</v>
      </c>
      <c r="J81" s="5">
        <v>11</v>
      </c>
      <c r="K81" s="7" t="b">
        <v>0</v>
      </c>
      <c r="L81" s="5" t="b">
        <v>1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7">
        <v>0</v>
      </c>
      <c r="AB81" s="7">
        <v>0</v>
      </c>
      <c r="AC81" s="7">
        <v>6</v>
      </c>
      <c r="AD81" s="7">
        <v>6</v>
      </c>
      <c r="AE81" s="7">
        <v>2</v>
      </c>
      <c r="AF81" s="7">
        <v>24</v>
      </c>
      <c r="AG81" s="7">
        <v>0</v>
      </c>
      <c r="AH81" s="7">
        <v>0</v>
      </c>
      <c r="AI81" s="7">
        <v>10</v>
      </c>
      <c r="AJ81" s="7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39" t="s">
        <v>672</v>
      </c>
      <c r="AR81" s="5">
        <v>1</v>
      </c>
      <c r="AS81" s="7">
        <v>36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9" t="s">
        <v>66</v>
      </c>
      <c r="BJ81" s="37"/>
      <c r="BK81" s="5" t="s">
        <v>0</v>
      </c>
      <c r="BL81" s="5">
        <v>0</v>
      </c>
      <c r="BM81" s="5" t="b">
        <v>0</v>
      </c>
      <c r="CS81" s="31" t="str">
        <f t="shared" ref="CS81:CS85" si="13">"."&amp;SUBSTITUTE(SUBSTITUTE(SUBSTITUTE(SUBSTITUTE(A81, "(",""),")","")," ",""),"#","")</f>
        <v>.Table-HeadTbhd</v>
      </c>
    </row>
    <row r="82" spans="1:97">
      <c r="A82" s="38" t="str">
        <f>IF($D82="","",TRIM($C82)&amp;" "&amp;CHAR(40)&amp;TRIM($D82)&amp;CHAR(41))</f>
        <v>Table-Subhead (Tbsbhd)</v>
      </c>
      <c r="C82" s="7" t="s">
        <v>483</v>
      </c>
      <c r="D82" s="7" t="s">
        <v>484</v>
      </c>
      <c r="E82" s="38" t="s">
        <v>482</v>
      </c>
      <c r="F82" s="5">
        <v>1</v>
      </c>
      <c r="G82" s="7" t="b">
        <v>0</v>
      </c>
      <c r="H82" s="5">
        <v>1</v>
      </c>
      <c r="I82" s="5" t="s">
        <v>1</v>
      </c>
      <c r="J82" s="5">
        <v>11</v>
      </c>
      <c r="K82" s="7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7">
        <v>0</v>
      </c>
      <c r="AB82" s="7">
        <v>0</v>
      </c>
      <c r="AC82" s="7">
        <v>6</v>
      </c>
      <c r="AD82" s="7">
        <v>6</v>
      </c>
      <c r="AE82" s="7">
        <v>2</v>
      </c>
      <c r="AF82" s="7">
        <v>24</v>
      </c>
      <c r="AG82" s="7">
        <v>0</v>
      </c>
      <c r="AH82" s="7">
        <v>0</v>
      </c>
      <c r="AI82" s="7">
        <v>10</v>
      </c>
      <c r="AJ82" s="7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39" t="s">
        <v>672</v>
      </c>
      <c r="AR82" s="5">
        <v>1</v>
      </c>
      <c r="AS82" s="7">
        <v>36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9" t="s">
        <v>66</v>
      </c>
      <c r="BJ82" s="37"/>
      <c r="BK82" s="5" t="s">
        <v>0</v>
      </c>
      <c r="BL82" s="5">
        <v>0</v>
      </c>
      <c r="BM82" s="5" t="b">
        <v>0</v>
      </c>
      <c r="CS82" s="31" t="str">
        <f t="shared" si="13"/>
        <v>.Table-SubheadTbsbhd</v>
      </c>
    </row>
    <row r="83" spans="1:97">
      <c r="A83" s="38" t="str">
        <f>IF($D83="","",TRIM($C83)&amp;" "&amp;CHAR(40)&amp;TRIM($D83)&amp;CHAR(41))</f>
        <v>Table-Text (Tbtx)</v>
      </c>
      <c r="C83" s="7" t="s">
        <v>485</v>
      </c>
      <c r="D83" s="7" t="s">
        <v>486</v>
      </c>
      <c r="E83" s="38" t="s">
        <v>482</v>
      </c>
      <c r="F83" s="5">
        <v>1</v>
      </c>
      <c r="G83" s="7" t="b">
        <v>0</v>
      </c>
      <c r="H83" s="5">
        <v>1</v>
      </c>
      <c r="I83" s="5" t="s">
        <v>1</v>
      </c>
      <c r="J83" s="5">
        <v>11</v>
      </c>
      <c r="K83" s="7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7">
        <v>0</v>
      </c>
      <c r="AB83" s="7">
        <v>0</v>
      </c>
      <c r="AC83" s="7">
        <v>6</v>
      </c>
      <c r="AD83" s="7">
        <v>6</v>
      </c>
      <c r="AE83" s="7">
        <v>2</v>
      </c>
      <c r="AF83" s="7">
        <v>24</v>
      </c>
      <c r="AG83" s="7">
        <v>0</v>
      </c>
      <c r="AH83" s="7">
        <v>0</v>
      </c>
      <c r="AI83" s="7">
        <v>10</v>
      </c>
      <c r="AJ83" s="7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39" t="s">
        <v>672</v>
      </c>
      <c r="AR83" s="5">
        <v>1</v>
      </c>
      <c r="AS83" s="7">
        <v>36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9" t="s">
        <v>66</v>
      </c>
      <c r="BJ83" s="37"/>
      <c r="BK83" s="5" t="s">
        <v>0</v>
      </c>
      <c r="BL83" s="5">
        <v>0</v>
      </c>
      <c r="BM83" s="5" t="b">
        <v>0</v>
      </c>
      <c r="CS83" s="31" t="str">
        <f t="shared" si="13"/>
        <v>.Table-TextTbtx</v>
      </c>
    </row>
    <row r="84" spans="1:97">
      <c r="A84" s="38" t="str">
        <f>IF($D84="","",TRIM($C84)&amp;" "&amp;CHAR(40)&amp;TRIM($D84)&amp;CHAR(41))</f>
        <v>Headline (Hdline)</v>
      </c>
      <c r="C84" s="7" t="s">
        <v>487</v>
      </c>
      <c r="D84" s="7" t="s">
        <v>597</v>
      </c>
      <c r="E84" s="7" t="s">
        <v>430</v>
      </c>
      <c r="F84" s="5">
        <v>1</v>
      </c>
      <c r="G84" s="7" t="b">
        <v>0</v>
      </c>
      <c r="H84" s="5">
        <v>1</v>
      </c>
      <c r="I84" s="5" t="s">
        <v>67</v>
      </c>
      <c r="J84" s="5">
        <v>11</v>
      </c>
      <c r="K84" s="7" t="b">
        <v>0</v>
      </c>
      <c r="L84" s="5" t="b">
        <v>1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0</v>
      </c>
      <c r="Y84" s="5" t="b">
        <v>0</v>
      </c>
      <c r="Z84" s="5" t="b">
        <v>0</v>
      </c>
      <c r="AA84" s="7">
        <v>0</v>
      </c>
      <c r="AB84" s="7">
        <v>0</v>
      </c>
      <c r="AC84" s="7">
        <v>6</v>
      </c>
      <c r="AD84" s="7">
        <v>6</v>
      </c>
      <c r="AE84" s="7">
        <v>2</v>
      </c>
      <c r="AF84" s="7">
        <v>24</v>
      </c>
      <c r="AG84" s="7">
        <v>1</v>
      </c>
      <c r="AH84" s="7">
        <v>0</v>
      </c>
      <c r="AI84" s="7">
        <v>10</v>
      </c>
      <c r="AJ84" s="7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39" t="s">
        <v>672</v>
      </c>
      <c r="AR84" s="5">
        <v>1</v>
      </c>
      <c r="AS84" s="7">
        <v>36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9" t="s">
        <v>66</v>
      </c>
      <c r="BJ84" s="37"/>
      <c r="BK84" s="5" t="s">
        <v>0</v>
      </c>
      <c r="BL84" s="5">
        <v>0</v>
      </c>
      <c r="BM84" s="5" t="b">
        <v>0</v>
      </c>
      <c r="CS84" s="31" t="str">
        <f t="shared" si="13"/>
        <v>.HeadlineHdline</v>
      </c>
    </row>
    <row r="85" spans="1:97">
      <c r="A85" s="38" t="str">
        <f t="shared" si="0"/>
        <v>Byline (Byline)</v>
      </c>
      <c r="C85" s="7" t="s">
        <v>488</v>
      </c>
      <c r="D85" s="7" t="s">
        <v>488</v>
      </c>
      <c r="E85" s="7" t="s">
        <v>430</v>
      </c>
      <c r="F85" s="5">
        <v>1</v>
      </c>
      <c r="G85" s="7" t="b">
        <v>0</v>
      </c>
      <c r="H85" s="5">
        <v>1</v>
      </c>
      <c r="I85" s="5" t="s">
        <v>67</v>
      </c>
      <c r="J85" s="5">
        <v>11</v>
      </c>
      <c r="K85" s="7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0</v>
      </c>
      <c r="Y85" s="5" t="b">
        <v>0</v>
      </c>
      <c r="Z85" s="5" t="b">
        <v>0</v>
      </c>
      <c r="AA85" s="7">
        <v>0</v>
      </c>
      <c r="AB85" s="7">
        <v>0</v>
      </c>
      <c r="AC85" s="7">
        <v>6</v>
      </c>
      <c r="AD85" s="7">
        <v>6</v>
      </c>
      <c r="AE85" s="7">
        <v>2</v>
      </c>
      <c r="AF85" s="7">
        <v>24</v>
      </c>
      <c r="AG85" s="7">
        <v>1</v>
      </c>
      <c r="AH85" s="7">
        <v>0</v>
      </c>
      <c r="AI85" s="7">
        <v>10</v>
      </c>
      <c r="AJ85" s="7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39" t="s">
        <v>672</v>
      </c>
      <c r="AR85" s="5">
        <v>1</v>
      </c>
      <c r="AS85" s="7">
        <v>36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9" t="s">
        <v>66</v>
      </c>
      <c r="BJ85" s="37"/>
      <c r="BK85" s="5" t="s">
        <v>0</v>
      </c>
      <c r="BL85" s="5">
        <v>0</v>
      </c>
      <c r="BM85" s="5" t="b">
        <v>0</v>
      </c>
      <c r="CS85" s="31" t="str">
        <f t="shared" si="13"/>
        <v>.BylineByline</v>
      </c>
    </row>
    <row r="86" spans="1:97">
      <c r="A86" s="38" t="str">
        <f t="shared" si="0"/>
        <v>Bullet-Level-1-List (Bl1)</v>
      </c>
      <c r="C86" s="7" t="s">
        <v>370</v>
      </c>
      <c r="D86" s="7" t="s">
        <v>598</v>
      </c>
      <c r="E86" s="38" t="str">
        <f t="shared" si="11"/>
        <v>Bullet-Level-1-List (Bl1)</v>
      </c>
      <c r="F86" s="5">
        <v>1</v>
      </c>
      <c r="G86" s="7" t="b">
        <v>1</v>
      </c>
      <c r="H86" s="5">
        <v>1</v>
      </c>
      <c r="I86" s="5" t="s">
        <v>67</v>
      </c>
      <c r="J86" s="5">
        <v>11</v>
      </c>
      <c r="K86" s="7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1</v>
      </c>
      <c r="Z86" s="5" t="b">
        <v>0</v>
      </c>
      <c r="AA86" s="7">
        <v>54</v>
      </c>
      <c r="AB86" s="7">
        <v>0</v>
      </c>
      <c r="AC86" s="7">
        <v>6</v>
      </c>
      <c r="AD86" s="7">
        <v>6</v>
      </c>
      <c r="AE86" s="7">
        <v>2</v>
      </c>
      <c r="AF86" s="7">
        <v>24</v>
      </c>
      <c r="AG86" s="7">
        <v>0</v>
      </c>
      <c r="AH86" s="7">
        <v>-18</v>
      </c>
      <c r="AI86" s="7">
        <v>10</v>
      </c>
      <c r="AJ86" s="7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39" t="s">
        <v>672</v>
      </c>
      <c r="AR86" s="5">
        <v>18</v>
      </c>
      <c r="AS86" s="7">
        <v>12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9" t="s">
        <v>66</v>
      </c>
      <c r="BJ86" s="37"/>
      <c r="BK86" s="5" t="s">
        <v>0</v>
      </c>
      <c r="BL86" s="5">
        <v>0</v>
      </c>
      <c r="BM86" s="5" t="b">
        <v>0</v>
      </c>
      <c r="CD86" s="7" t="b">
        <v>1</v>
      </c>
      <c r="CS86" s="31" t="str">
        <f t="shared" si="6"/>
        <v>.Bullet-Level-1-ListBl1</v>
      </c>
    </row>
    <row r="87" spans="1:97">
      <c r="A87" s="38" t="str">
        <f t="shared" si="0"/>
        <v>Bullet-Level-1-List-Paragraph (Bl1p)</v>
      </c>
      <c r="C87" s="7" t="s">
        <v>489</v>
      </c>
      <c r="D87" s="7" t="s">
        <v>599</v>
      </c>
      <c r="E87" s="38" t="str">
        <f t="shared" si="11"/>
        <v>Bullet-Level-1-List-Paragraph (Bl1p)</v>
      </c>
      <c r="F87" s="5">
        <v>1</v>
      </c>
      <c r="G87" s="7" t="b">
        <v>0</v>
      </c>
      <c r="H87" s="5">
        <v>1</v>
      </c>
      <c r="I87" s="5" t="s">
        <v>67</v>
      </c>
      <c r="J87" s="5">
        <v>11</v>
      </c>
      <c r="K87" s="7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0</v>
      </c>
      <c r="Z87" s="5" t="b">
        <v>0</v>
      </c>
      <c r="AA87" s="7">
        <v>36</v>
      </c>
      <c r="AB87" s="7">
        <v>0</v>
      </c>
      <c r="AC87" s="7">
        <v>6</v>
      </c>
      <c r="AD87" s="7">
        <v>6</v>
      </c>
      <c r="AE87" s="7">
        <v>2</v>
      </c>
      <c r="AF87" s="7">
        <v>24</v>
      </c>
      <c r="AG87" s="7">
        <v>0</v>
      </c>
      <c r="AH87" s="7">
        <v>36</v>
      </c>
      <c r="AI87" s="7">
        <v>10</v>
      </c>
      <c r="AJ87" s="7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39" t="s">
        <v>672</v>
      </c>
      <c r="AR87" s="5">
        <v>18</v>
      </c>
      <c r="AS87" s="7">
        <v>12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9" t="s">
        <v>66</v>
      </c>
      <c r="BJ87" s="37"/>
      <c r="BK87" s="5" t="s">
        <v>0</v>
      </c>
      <c r="BL87" s="5">
        <v>0</v>
      </c>
      <c r="BM87" s="5" t="b">
        <v>0</v>
      </c>
      <c r="CD87" s="7" t="b">
        <v>1</v>
      </c>
      <c r="CJ87" s="7" t="b">
        <v>1</v>
      </c>
      <c r="CS87" s="31" t="str">
        <f t="shared" ref="CS87" si="14">"."&amp;SUBSTITUTE(SUBSTITUTE(SUBSTITUTE(SUBSTITUTE(A87, "(",""),")","")," ",""),"#","")</f>
        <v>.Bullet-Level-1-List-ParagraphBl1p</v>
      </c>
    </row>
    <row r="88" spans="1:97">
      <c r="A88" s="38" t="str">
        <f t="shared" si="0"/>
        <v>Bullet-Level-2-List (Bl2)</v>
      </c>
      <c r="C88" s="7" t="s">
        <v>371</v>
      </c>
      <c r="D88" s="7" t="s">
        <v>600</v>
      </c>
      <c r="E88" s="38" t="str">
        <f t="shared" si="11"/>
        <v>Bullet-Level-2-List (Bl2)</v>
      </c>
      <c r="F88" s="5">
        <v>1</v>
      </c>
      <c r="G88" s="7" t="b">
        <v>0</v>
      </c>
      <c r="H88" s="5">
        <v>1</v>
      </c>
      <c r="I88" s="5" t="s">
        <v>67</v>
      </c>
      <c r="J88" s="5">
        <v>11</v>
      </c>
      <c r="K88" s="7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1</v>
      </c>
      <c r="Z88" s="5" t="b">
        <v>0</v>
      </c>
      <c r="AA88" s="7">
        <v>90</v>
      </c>
      <c r="AB88" s="7">
        <v>0</v>
      </c>
      <c r="AC88" s="7">
        <v>6</v>
      </c>
      <c r="AD88" s="7">
        <v>6</v>
      </c>
      <c r="AE88" s="7">
        <v>2</v>
      </c>
      <c r="AF88" s="7">
        <v>24</v>
      </c>
      <c r="AG88" s="7">
        <v>0</v>
      </c>
      <c r="AH88" s="7">
        <v>-18</v>
      </c>
      <c r="AI88" s="7">
        <v>10</v>
      </c>
      <c r="AJ88" s="7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39" t="s">
        <v>672</v>
      </c>
      <c r="AR88" s="5">
        <v>18</v>
      </c>
      <c r="AS88" s="7">
        <v>12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9" t="s">
        <v>66</v>
      </c>
      <c r="BJ88" s="37"/>
      <c r="BK88" s="5" t="s">
        <v>0</v>
      </c>
      <c r="BL88" s="5">
        <v>0</v>
      </c>
      <c r="BM88" s="5" t="b">
        <v>0</v>
      </c>
      <c r="CF88" s="7" t="b">
        <v>1</v>
      </c>
      <c r="CS88" s="31" t="str">
        <f t="shared" si="6"/>
        <v>.Bullet-Level-2-ListBl2</v>
      </c>
    </row>
    <row r="89" spans="1:97">
      <c r="A89" s="38" t="str">
        <f t="shared" si="0"/>
        <v>Bullet-Level-2-List-Paragraph (Bl2p)</v>
      </c>
      <c r="C89" s="7" t="s">
        <v>490</v>
      </c>
      <c r="D89" s="7" t="s">
        <v>601</v>
      </c>
      <c r="E89" s="38" t="str">
        <f t="shared" si="11"/>
        <v>Bullet-Level-2-List-Paragraph (Bl2p)</v>
      </c>
      <c r="F89" s="5">
        <v>1</v>
      </c>
      <c r="G89" s="7" t="b">
        <v>0</v>
      </c>
      <c r="H89" s="5">
        <v>1</v>
      </c>
      <c r="I89" s="5" t="s">
        <v>67</v>
      </c>
      <c r="J89" s="5">
        <v>11</v>
      </c>
      <c r="K89" s="7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0</v>
      </c>
      <c r="Z89" s="5" t="b">
        <v>0</v>
      </c>
      <c r="AA89" s="7">
        <v>72</v>
      </c>
      <c r="AB89" s="7">
        <v>0</v>
      </c>
      <c r="AC89" s="7">
        <v>6</v>
      </c>
      <c r="AD89" s="7">
        <v>6</v>
      </c>
      <c r="AE89" s="7">
        <v>2</v>
      </c>
      <c r="AF89" s="7">
        <v>24</v>
      </c>
      <c r="AG89" s="7">
        <v>0</v>
      </c>
      <c r="AH89" s="7">
        <v>36</v>
      </c>
      <c r="AI89" s="7">
        <v>10</v>
      </c>
      <c r="AJ89" s="7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39" t="s">
        <v>672</v>
      </c>
      <c r="AR89" s="5">
        <v>18</v>
      </c>
      <c r="AS89" s="7">
        <v>12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9" t="s">
        <v>66</v>
      </c>
      <c r="BJ89" s="37"/>
      <c r="BK89" s="5" t="s">
        <v>0</v>
      </c>
      <c r="BL89" s="5">
        <v>0</v>
      </c>
      <c r="BM89" s="5" t="b">
        <v>0</v>
      </c>
      <c r="CF89" s="7" t="b">
        <v>1</v>
      </c>
      <c r="CJ89" s="7" t="b">
        <v>1</v>
      </c>
      <c r="CS89" s="31" t="str">
        <f t="shared" ref="CS89" si="15">"."&amp;SUBSTITUTE(SUBSTITUTE(SUBSTITUTE(SUBSTITUTE(A89, "(",""),")","")," ",""),"#","")</f>
        <v>.Bullet-Level-2-List-ParagraphBl2p</v>
      </c>
    </row>
    <row r="90" spans="1:97">
      <c r="A90" s="38" t="str">
        <f t="shared" si="0"/>
        <v>Bullet-Level-3-List (Bl3)</v>
      </c>
      <c r="C90" s="7" t="s">
        <v>372</v>
      </c>
      <c r="D90" s="7" t="s">
        <v>602</v>
      </c>
      <c r="E90" s="38" t="str">
        <f t="shared" si="11"/>
        <v>Bullet-Level-3-List (Bl3)</v>
      </c>
      <c r="F90" s="5">
        <v>1</v>
      </c>
      <c r="G90" s="7" t="b">
        <v>0</v>
      </c>
      <c r="H90" s="5">
        <v>1</v>
      </c>
      <c r="I90" s="5" t="s">
        <v>67</v>
      </c>
      <c r="J90" s="5">
        <v>11</v>
      </c>
      <c r="K90" s="7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7">
        <v>126</v>
      </c>
      <c r="AB90" s="7">
        <v>0</v>
      </c>
      <c r="AC90" s="7">
        <v>6</v>
      </c>
      <c r="AD90" s="7">
        <v>6</v>
      </c>
      <c r="AE90" s="7">
        <v>2</v>
      </c>
      <c r="AF90" s="7">
        <v>24</v>
      </c>
      <c r="AG90" s="7">
        <v>0</v>
      </c>
      <c r="AH90" s="7">
        <v>-18</v>
      </c>
      <c r="AI90" s="7">
        <v>10</v>
      </c>
      <c r="AJ90" s="7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39" t="s">
        <v>672</v>
      </c>
      <c r="AR90" s="5">
        <v>18</v>
      </c>
      <c r="AS90" s="7">
        <v>12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9" t="s">
        <v>66</v>
      </c>
      <c r="BJ90" s="37"/>
      <c r="BK90" s="5" t="s">
        <v>0</v>
      </c>
      <c r="BL90" s="5">
        <v>0</v>
      </c>
      <c r="BM90" s="5" t="b">
        <v>0</v>
      </c>
      <c r="CH90" s="7" t="b">
        <v>1</v>
      </c>
      <c r="CS90" s="31" t="str">
        <f t="shared" si="6"/>
        <v>.Bullet-Level-3-ListBl3</v>
      </c>
    </row>
    <row r="91" spans="1:97">
      <c r="A91" s="38" t="str">
        <f t="shared" si="0"/>
        <v>Bullet-Level-3-List-Paragraph (Bl3p)</v>
      </c>
      <c r="C91" s="7" t="s">
        <v>491</v>
      </c>
      <c r="D91" s="7" t="s">
        <v>603</v>
      </c>
      <c r="E91" s="38" t="str">
        <f t="shared" si="11"/>
        <v>Bullet-Level-3-List-Paragraph (Bl3p)</v>
      </c>
      <c r="F91" s="5">
        <v>1</v>
      </c>
      <c r="G91" s="7" t="b">
        <v>0</v>
      </c>
      <c r="H91" s="5">
        <v>1</v>
      </c>
      <c r="I91" s="5" t="s">
        <v>67</v>
      </c>
      <c r="J91" s="5">
        <v>11</v>
      </c>
      <c r="K91" s="7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0</v>
      </c>
      <c r="Z91" s="5" t="b">
        <v>0</v>
      </c>
      <c r="AA91" s="7">
        <v>108</v>
      </c>
      <c r="AB91" s="7">
        <v>0</v>
      </c>
      <c r="AC91" s="7">
        <v>6</v>
      </c>
      <c r="AD91" s="7">
        <v>6</v>
      </c>
      <c r="AE91" s="7">
        <v>2</v>
      </c>
      <c r="AF91" s="7">
        <v>24</v>
      </c>
      <c r="AG91" s="7">
        <v>0</v>
      </c>
      <c r="AH91" s="7">
        <v>36</v>
      </c>
      <c r="AI91" s="7">
        <v>10</v>
      </c>
      <c r="AJ91" s="7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39" t="s">
        <v>672</v>
      </c>
      <c r="AR91" s="5">
        <v>18</v>
      </c>
      <c r="AS91" s="7">
        <v>12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9" t="s">
        <v>66</v>
      </c>
      <c r="BJ91" s="37"/>
      <c r="BK91" s="5" t="s">
        <v>0</v>
      </c>
      <c r="BL91" s="5">
        <v>0</v>
      </c>
      <c r="BM91" s="5" t="b">
        <v>0</v>
      </c>
      <c r="CH91" s="7" t="b">
        <v>1</v>
      </c>
      <c r="CJ91" s="7" t="b">
        <v>1</v>
      </c>
      <c r="CS91" s="31" t="str">
        <f t="shared" ref="CS91" si="16">"."&amp;SUBSTITUTE(SUBSTITUTE(SUBSTITUTE(SUBSTITUTE(A91, "(",""),")","")," ",""),"#","")</f>
        <v>.Bullet-Level-3-List-ParagraphBl3p</v>
      </c>
    </row>
    <row r="92" spans="1:97">
      <c r="A92" s="38" t="str">
        <f t="shared" si="0"/>
        <v>Num-Level-1-List (Nl1)</v>
      </c>
      <c r="C92" s="7" t="s">
        <v>373</v>
      </c>
      <c r="D92" s="7" t="s">
        <v>604</v>
      </c>
      <c r="E92" s="38" t="str">
        <f t="shared" si="11"/>
        <v>Num-Level-1-List (Nl1)</v>
      </c>
      <c r="F92" s="5">
        <v>1</v>
      </c>
      <c r="G92" s="7" t="b">
        <v>1</v>
      </c>
      <c r="H92" s="5">
        <v>1</v>
      </c>
      <c r="I92" s="5" t="s">
        <v>67</v>
      </c>
      <c r="J92" s="5">
        <v>11</v>
      </c>
      <c r="K92" s="7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7">
        <v>36</v>
      </c>
      <c r="AB92" s="7">
        <v>0</v>
      </c>
      <c r="AC92" s="7">
        <v>6</v>
      </c>
      <c r="AD92" s="7">
        <v>6</v>
      </c>
      <c r="AE92" s="7">
        <v>2</v>
      </c>
      <c r="AF92" s="7">
        <v>24</v>
      </c>
      <c r="AG92" s="7">
        <v>0</v>
      </c>
      <c r="AH92" s="7">
        <v>0</v>
      </c>
      <c r="AI92" s="7">
        <v>10</v>
      </c>
      <c r="AJ92" s="7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39" t="s">
        <v>672</v>
      </c>
      <c r="AR92" s="5">
        <v>18</v>
      </c>
      <c r="AS92" s="7">
        <v>12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9" t="s">
        <v>66</v>
      </c>
      <c r="BJ92" s="37"/>
      <c r="BK92" s="5" t="s">
        <v>0</v>
      </c>
      <c r="BL92" s="5">
        <v>0</v>
      </c>
      <c r="BM92" s="5" t="b">
        <v>0</v>
      </c>
      <c r="CE92" s="7" t="b">
        <v>1</v>
      </c>
      <c r="CS92" s="31" t="str">
        <f t="shared" si="6"/>
        <v>.Num-Level-1-ListNl1</v>
      </c>
    </row>
    <row r="93" spans="1:97">
      <c r="A93" s="38" t="str">
        <f t="shared" si="0"/>
        <v>Num-Level-1-List-Paragraph (Nl1p)</v>
      </c>
      <c r="C93" s="7" t="s">
        <v>492</v>
      </c>
      <c r="D93" s="7" t="s">
        <v>605</v>
      </c>
      <c r="E93" s="38" t="str">
        <f t="shared" si="11"/>
        <v>Num-Level-1-List-Paragraph (Nl1p)</v>
      </c>
      <c r="F93" s="5">
        <v>1</v>
      </c>
      <c r="G93" s="7" t="b">
        <v>0</v>
      </c>
      <c r="H93" s="5">
        <v>1</v>
      </c>
      <c r="I93" s="5" t="s">
        <v>67</v>
      </c>
      <c r="J93" s="5">
        <v>11</v>
      </c>
      <c r="K93" s="7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7">
        <v>36</v>
      </c>
      <c r="AB93" s="7">
        <v>0</v>
      </c>
      <c r="AC93" s="7">
        <v>6</v>
      </c>
      <c r="AD93" s="7">
        <v>6</v>
      </c>
      <c r="AE93" s="7">
        <v>2</v>
      </c>
      <c r="AF93" s="7">
        <v>24</v>
      </c>
      <c r="AG93" s="7">
        <v>0</v>
      </c>
      <c r="AH93" s="7">
        <v>36</v>
      </c>
      <c r="AI93" s="7">
        <v>10</v>
      </c>
      <c r="AJ93" s="7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39" t="s">
        <v>672</v>
      </c>
      <c r="AR93" s="5">
        <v>18</v>
      </c>
      <c r="AS93" s="7">
        <v>12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9" t="s">
        <v>66</v>
      </c>
      <c r="BJ93" s="37"/>
      <c r="BK93" s="5" t="s">
        <v>0</v>
      </c>
      <c r="BL93" s="5">
        <v>0</v>
      </c>
      <c r="BM93" s="5" t="b">
        <v>0</v>
      </c>
      <c r="CE93" s="7" t="b">
        <v>1</v>
      </c>
      <c r="CJ93" s="7" t="b">
        <v>1</v>
      </c>
      <c r="CS93" s="31" t="str">
        <f t="shared" ref="CS93" si="17">"."&amp;SUBSTITUTE(SUBSTITUTE(SUBSTITUTE(SUBSTITUTE(A93, "(",""),")","")," ",""),"#","")</f>
        <v>.Num-Level-1-List-ParagraphNl1p</v>
      </c>
    </row>
    <row r="94" spans="1:97">
      <c r="A94" s="38" t="str">
        <f t="shared" si="0"/>
        <v>Num-Level-2-List (Nl2)</v>
      </c>
      <c r="C94" s="7" t="s">
        <v>374</v>
      </c>
      <c r="D94" s="7" t="s">
        <v>606</v>
      </c>
      <c r="E94" s="38" t="str">
        <f t="shared" si="11"/>
        <v>Num-Level-2-List (Nl2)</v>
      </c>
      <c r="F94" s="5">
        <v>1</v>
      </c>
      <c r="G94" s="7" t="b">
        <v>0</v>
      </c>
      <c r="H94" s="5">
        <v>1</v>
      </c>
      <c r="I94" s="5" t="s">
        <v>67</v>
      </c>
      <c r="J94" s="5">
        <v>11</v>
      </c>
      <c r="K94" s="7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7">
        <v>72</v>
      </c>
      <c r="AB94" s="7">
        <v>0</v>
      </c>
      <c r="AC94" s="7">
        <v>6</v>
      </c>
      <c r="AD94" s="7">
        <v>6</v>
      </c>
      <c r="AE94" s="7">
        <v>2</v>
      </c>
      <c r="AF94" s="7">
        <v>24</v>
      </c>
      <c r="AG94" s="7">
        <v>0</v>
      </c>
      <c r="AH94" s="7">
        <v>0</v>
      </c>
      <c r="AI94" s="7">
        <v>10</v>
      </c>
      <c r="AJ94" s="7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39" t="s">
        <v>672</v>
      </c>
      <c r="AR94" s="5">
        <v>18</v>
      </c>
      <c r="AS94" s="7">
        <v>12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9" t="s">
        <v>66</v>
      </c>
      <c r="BJ94" s="37"/>
      <c r="BK94" s="5" t="s">
        <v>0</v>
      </c>
      <c r="BL94" s="5">
        <v>0</v>
      </c>
      <c r="BM94" s="5" t="b">
        <v>0</v>
      </c>
      <c r="CG94" s="7" t="b">
        <v>1</v>
      </c>
      <c r="CS94" s="31" t="str">
        <f t="shared" si="6"/>
        <v>.Num-Level-2-ListNl2</v>
      </c>
    </row>
    <row r="95" spans="1:97">
      <c r="A95" s="38" t="str">
        <f t="shared" si="0"/>
        <v>Num-Level-2-List-Paragraph (Nl2p)</v>
      </c>
      <c r="C95" s="7" t="s">
        <v>493</v>
      </c>
      <c r="D95" s="7" t="s">
        <v>607</v>
      </c>
      <c r="E95" s="38" t="str">
        <f t="shared" si="11"/>
        <v>Num-Level-2-List-Paragraph (Nl2p)</v>
      </c>
      <c r="F95" s="5">
        <v>1</v>
      </c>
      <c r="G95" s="7" t="b">
        <v>0</v>
      </c>
      <c r="H95" s="5">
        <v>1</v>
      </c>
      <c r="I95" s="5" t="s">
        <v>67</v>
      </c>
      <c r="J95" s="5">
        <v>11</v>
      </c>
      <c r="K95" s="7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7">
        <v>72</v>
      </c>
      <c r="AB95" s="7">
        <v>0</v>
      </c>
      <c r="AC95" s="7">
        <v>6</v>
      </c>
      <c r="AD95" s="7">
        <v>6</v>
      </c>
      <c r="AE95" s="7">
        <v>2</v>
      </c>
      <c r="AF95" s="7">
        <v>24</v>
      </c>
      <c r="AG95" s="7">
        <v>0</v>
      </c>
      <c r="AH95" s="7">
        <v>36</v>
      </c>
      <c r="AI95" s="7">
        <v>10</v>
      </c>
      <c r="AJ95" s="7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39" t="s">
        <v>672</v>
      </c>
      <c r="AR95" s="5">
        <v>18</v>
      </c>
      <c r="AS95" s="7">
        <v>12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9" t="s">
        <v>66</v>
      </c>
      <c r="BJ95" s="37"/>
      <c r="BK95" s="5" t="s">
        <v>0</v>
      </c>
      <c r="BL95" s="5">
        <v>0</v>
      </c>
      <c r="BM95" s="5" t="b">
        <v>0</v>
      </c>
      <c r="CG95" s="7" t="b">
        <v>1</v>
      </c>
      <c r="CJ95" s="7" t="b">
        <v>1</v>
      </c>
      <c r="CS95" s="31" t="str">
        <f t="shared" ref="CS95" si="18">"."&amp;SUBSTITUTE(SUBSTITUTE(SUBSTITUTE(SUBSTITUTE(A95, "(",""),")","")," ",""),"#","")</f>
        <v>.Num-Level-2-List-ParagraphNl2p</v>
      </c>
    </row>
    <row r="96" spans="1:97">
      <c r="A96" s="38" t="str">
        <f t="shared" si="0"/>
        <v>Num-Level-3-List (Nl3)</v>
      </c>
      <c r="C96" s="7" t="s">
        <v>375</v>
      </c>
      <c r="D96" s="7" t="s">
        <v>608</v>
      </c>
      <c r="E96" s="38" t="str">
        <f t="shared" si="11"/>
        <v>Num-Level-3-List (Nl3)</v>
      </c>
      <c r="F96" s="5">
        <v>1</v>
      </c>
      <c r="G96" s="7" t="b">
        <v>0</v>
      </c>
      <c r="H96" s="5">
        <v>1</v>
      </c>
      <c r="I96" s="5" t="s">
        <v>67</v>
      </c>
      <c r="J96" s="5">
        <v>11</v>
      </c>
      <c r="K96" s="7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7">
        <v>108</v>
      </c>
      <c r="AB96" s="7">
        <v>0</v>
      </c>
      <c r="AC96" s="7">
        <v>6</v>
      </c>
      <c r="AD96" s="7">
        <v>6</v>
      </c>
      <c r="AE96" s="7">
        <v>2</v>
      </c>
      <c r="AF96" s="7">
        <v>24</v>
      </c>
      <c r="AG96" s="7">
        <v>0</v>
      </c>
      <c r="AH96" s="7">
        <v>0</v>
      </c>
      <c r="AI96" s="7">
        <v>10</v>
      </c>
      <c r="AJ96" s="7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39" t="s">
        <v>672</v>
      </c>
      <c r="AR96" s="5">
        <v>18</v>
      </c>
      <c r="AS96" s="7">
        <v>12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9" t="s">
        <v>66</v>
      </c>
      <c r="BJ96" s="37"/>
      <c r="BK96" s="5" t="s">
        <v>0</v>
      </c>
      <c r="BL96" s="5">
        <v>0</v>
      </c>
      <c r="BM96" s="5" t="b">
        <v>0</v>
      </c>
      <c r="CI96" s="7" t="b">
        <v>1</v>
      </c>
      <c r="CS96" s="31" t="str">
        <f t="shared" ref="CS96:CS142" si="19">"."&amp;SUBSTITUTE(SUBSTITUTE(SUBSTITUTE(SUBSTITUTE(A96, "(",""),")","")," ",""),"#","")</f>
        <v>.Num-Level-3-ListNl3</v>
      </c>
    </row>
    <row r="97" spans="1:97">
      <c r="A97" s="38" t="str">
        <f t="shared" si="0"/>
        <v>Num-Level-3-List-Paragraph (Nl3p)</v>
      </c>
      <c r="C97" s="7" t="s">
        <v>709</v>
      </c>
      <c r="D97" s="7" t="s">
        <v>609</v>
      </c>
      <c r="E97" s="38" t="str">
        <f t="shared" si="11"/>
        <v>Num-Level-3-List-Paragraph (Nl3p)</v>
      </c>
      <c r="F97" s="5">
        <v>1</v>
      </c>
      <c r="G97" s="7" t="b">
        <v>0</v>
      </c>
      <c r="H97" s="5">
        <v>1</v>
      </c>
      <c r="I97" s="5" t="s">
        <v>67</v>
      </c>
      <c r="J97" s="5">
        <v>11</v>
      </c>
      <c r="K97" s="7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7">
        <v>108</v>
      </c>
      <c r="AB97" s="7">
        <v>0</v>
      </c>
      <c r="AC97" s="7">
        <v>6</v>
      </c>
      <c r="AD97" s="7">
        <v>6</v>
      </c>
      <c r="AE97" s="7">
        <v>2</v>
      </c>
      <c r="AF97" s="7">
        <v>24</v>
      </c>
      <c r="AG97" s="7">
        <v>0</v>
      </c>
      <c r="AH97" s="7">
        <v>36</v>
      </c>
      <c r="AI97" s="7">
        <v>10</v>
      </c>
      <c r="AJ97" s="7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39" t="s">
        <v>672</v>
      </c>
      <c r="AR97" s="5">
        <v>18</v>
      </c>
      <c r="AS97" s="7">
        <v>12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9" t="s">
        <v>66</v>
      </c>
      <c r="BJ97" s="37"/>
      <c r="BK97" s="5" t="s">
        <v>0</v>
      </c>
      <c r="BL97" s="5">
        <v>0</v>
      </c>
      <c r="BM97" s="5" t="b">
        <v>0</v>
      </c>
      <c r="CI97" s="7" t="b">
        <v>1</v>
      </c>
      <c r="CJ97" s="7" t="b">
        <v>1</v>
      </c>
      <c r="CS97" s="31" t="str">
        <f t="shared" ref="CS97" si="20">"."&amp;SUBSTITUTE(SUBSTITUTE(SUBSTITUTE(SUBSTITUTE(A97, "(",""),")","")," ",""),"#","")</f>
        <v>.Num-Level-3-List-ParagraphNl3p</v>
      </c>
    </row>
    <row r="98" spans="1:97">
      <c r="A98" s="38" t="str">
        <f t="shared" si="0"/>
        <v>Unnum-Level-1-List (Ul1)</v>
      </c>
      <c r="C98" s="7" t="s">
        <v>376</v>
      </c>
      <c r="D98" s="7" t="s">
        <v>610</v>
      </c>
      <c r="E98" s="38" t="str">
        <f t="shared" si="11"/>
        <v>Unnum-Level-1-List (Ul1)</v>
      </c>
      <c r="F98" s="5">
        <v>1</v>
      </c>
      <c r="G98" s="7" t="b">
        <v>1</v>
      </c>
      <c r="H98" s="5">
        <v>1</v>
      </c>
      <c r="I98" s="5" t="s">
        <v>67</v>
      </c>
      <c r="J98" s="5">
        <v>11</v>
      </c>
      <c r="K98" s="7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7">
        <v>36</v>
      </c>
      <c r="AB98" s="7">
        <v>0</v>
      </c>
      <c r="AC98" s="7">
        <v>6</v>
      </c>
      <c r="AD98" s="7">
        <v>6</v>
      </c>
      <c r="AE98" s="7">
        <v>2</v>
      </c>
      <c r="AF98" s="7">
        <v>24</v>
      </c>
      <c r="AG98" s="7">
        <v>0</v>
      </c>
      <c r="AH98" s="7">
        <v>0</v>
      </c>
      <c r="AI98" s="7">
        <v>10</v>
      </c>
      <c r="AJ98" s="7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39" t="s">
        <v>672</v>
      </c>
      <c r="AR98" s="5">
        <v>18</v>
      </c>
      <c r="AS98" s="7">
        <v>12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9" t="s">
        <v>66</v>
      </c>
      <c r="BJ98" s="37"/>
      <c r="BK98" s="5" t="s">
        <v>0</v>
      </c>
      <c r="BL98" s="5">
        <v>0</v>
      </c>
      <c r="BM98" s="5" t="b">
        <v>0</v>
      </c>
      <c r="CD98" s="7" t="b">
        <v>1</v>
      </c>
      <c r="CS98" s="31" t="str">
        <f t="shared" si="19"/>
        <v>.Unnum-Level-1-ListUl1</v>
      </c>
    </row>
    <row r="99" spans="1:97">
      <c r="A99" s="38" t="str">
        <f t="shared" si="0"/>
        <v>Unnum-Level-1-List-Paragraph (Ul1p)</v>
      </c>
      <c r="C99" s="7" t="s">
        <v>494</v>
      </c>
      <c r="D99" s="7" t="s">
        <v>611</v>
      </c>
      <c r="E99" s="38" t="str">
        <f t="shared" si="11"/>
        <v>Unnum-Level-1-List-Paragraph (Ul1p)</v>
      </c>
      <c r="F99" s="5">
        <v>1</v>
      </c>
      <c r="G99" s="7" t="b">
        <v>0</v>
      </c>
      <c r="H99" s="5">
        <v>1</v>
      </c>
      <c r="I99" s="5" t="s">
        <v>67</v>
      </c>
      <c r="J99" s="5">
        <v>11</v>
      </c>
      <c r="K99" s="7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7">
        <v>36</v>
      </c>
      <c r="AB99" s="7">
        <v>0</v>
      </c>
      <c r="AC99" s="7">
        <v>6</v>
      </c>
      <c r="AD99" s="7">
        <v>6</v>
      </c>
      <c r="AE99" s="7">
        <v>2</v>
      </c>
      <c r="AF99" s="7">
        <v>24</v>
      </c>
      <c r="AG99" s="7">
        <v>0</v>
      </c>
      <c r="AH99" s="7">
        <v>36</v>
      </c>
      <c r="AI99" s="7">
        <v>10</v>
      </c>
      <c r="AJ99" s="7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39" t="s">
        <v>672</v>
      </c>
      <c r="AR99" s="5">
        <v>18</v>
      </c>
      <c r="AS99" s="7">
        <v>12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9" t="s">
        <v>66</v>
      </c>
      <c r="BJ99" s="37"/>
      <c r="BK99" s="5" t="s">
        <v>0</v>
      </c>
      <c r="BL99" s="5">
        <v>0</v>
      </c>
      <c r="BM99" s="5" t="b">
        <v>0</v>
      </c>
      <c r="CD99" s="7" t="b">
        <v>1</v>
      </c>
      <c r="CJ99" s="7" t="b">
        <v>1</v>
      </c>
      <c r="CS99" s="31" t="str">
        <f t="shared" ref="CS99" si="21">"."&amp;SUBSTITUTE(SUBSTITUTE(SUBSTITUTE(SUBSTITUTE(A99, "(",""),")","")," ",""),"#","")</f>
        <v>.Unnum-Level-1-List-ParagraphUl1p</v>
      </c>
    </row>
    <row r="100" spans="1:97">
      <c r="A100" s="38" t="str">
        <f t="shared" si="0"/>
        <v>Unnum-Level-2-List (Ul2)</v>
      </c>
      <c r="C100" s="7" t="s">
        <v>377</v>
      </c>
      <c r="D100" s="7" t="s">
        <v>612</v>
      </c>
      <c r="E100" s="38" t="str">
        <f t="shared" si="11"/>
        <v>Unnum-Level-2-List (Ul2)</v>
      </c>
      <c r="F100" s="5">
        <v>1</v>
      </c>
      <c r="G100" s="7" t="b">
        <v>0</v>
      </c>
      <c r="H100" s="5">
        <v>1</v>
      </c>
      <c r="I100" s="5" t="s">
        <v>67</v>
      </c>
      <c r="J100" s="5">
        <v>11</v>
      </c>
      <c r="K100" s="7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7">
        <v>72</v>
      </c>
      <c r="AB100" s="7">
        <v>0</v>
      </c>
      <c r="AC100" s="7">
        <v>6</v>
      </c>
      <c r="AD100" s="7">
        <v>6</v>
      </c>
      <c r="AE100" s="7">
        <v>2</v>
      </c>
      <c r="AF100" s="7">
        <v>24</v>
      </c>
      <c r="AG100" s="7">
        <v>0</v>
      </c>
      <c r="AH100" s="7">
        <v>0</v>
      </c>
      <c r="AI100" s="7">
        <v>10</v>
      </c>
      <c r="AJ100" s="7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39" t="s">
        <v>672</v>
      </c>
      <c r="AR100" s="5">
        <v>18</v>
      </c>
      <c r="AS100" s="7">
        <v>12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9" t="s">
        <v>66</v>
      </c>
      <c r="BJ100" s="37"/>
      <c r="BK100" s="5" t="s">
        <v>0</v>
      </c>
      <c r="BL100" s="5">
        <v>0</v>
      </c>
      <c r="BM100" s="5" t="b">
        <v>0</v>
      </c>
      <c r="CF100" s="7" t="b">
        <v>1</v>
      </c>
      <c r="CS100" s="31" t="str">
        <f t="shared" si="19"/>
        <v>.Unnum-Level-2-ListUl2</v>
      </c>
    </row>
    <row r="101" spans="1:97">
      <c r="A101" s="38" t="str">
        <f t="shared" si="0"/>
        <v>Unnum-Level-2-List-Paragraph (Ul2p)</v>
      </c>
      <c r="C101" s="7" t="s">
        <v>495</v>
      </c>
      <c r="D101" s="7" t="s">
        <v>613</v>
      </c>
      <c r="E101" s="38" t="str">
        <f t="shared" si="11"/>
        <v>Unnum-Level-2-List-Paragraph (Ul2p)</v>
      </c>
      <c r="F101" s="5">
        <v>1</v>
      </c>
      <c r="G101" s="7" t="b">
        <v>0</v>
      </c>
      <c r="H101" s="5">
        <v>1</v>
      </c>
      <c r="I101" s="5" t="s">
        <v>67</v>
      </c>
      <c r="J101" s="5">
        <v>11</v>
      </c>
      <c r="K101" s="7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7">
        <v>72</v>
      </c>
      <c r="AB101" s="7">
        <v>0</v>
      </c>
      <c r="AC101" s="7">
        <v>6</v>
      </c>
      <c r="AD101" s="7">
        <v>6</v>
      </c>
      <c r="AE101" s="7">
        <v>2</v>
      </c>
      <c r="AF101" s="7">
        <v>24</v>
      </c>
      <c r="AG101" s="7">
        <v>0</v>
      </c>
      <c r="AH101" s="7">
        <v>36</v>
      </c>
      <c r="AI101" s="7">
        <v>10</v>
      </c>
      <c r="AJ101" s="7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39" t="s">
        <v>672</v>
      </c>
      <c r="AR101" s="5">
        <v>18</v>
      </c>
      <c r="AS101" s="7">
        <v>12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9" t="s">
        <v>66</v>
      </c>
      <c r="BJ101" s="37"/>
      <c r="BK101" s="5" t="s">
        <v>0</v>
      </c>
      <c r="BL101" s="5">
        <v>0</v>
      </c>
      <c r="BM101" s="5" t="b">
        <v>0</v>
      </c>
      <c r="CF101" s="7" t="b">
        <v>1</v>
      </c>
      <c r="CJ101" s="7" t="b">
        <v>1</v>
      </c>
      <c r="CS101" s="31" t="str">
        <f t="shared" ref="CS101" si="22">"."&amp;SUBSTITUTE(SUBSTITUTE(SUBSTITUTE(SUBSTITUTE(A101, "(",""),")","")," ",""),"#","")</f>
        <v>.Unnum-Level-2-List-ParagraphUl2p</v>
      </c>
    </row>
    <row r="102" spans="1:97">
      <c r="A102" s="38" t="str">
        <f t="shared" ref="A102:A192" si="23">IF($D102="","",TRIM($C102)&amp;" "&amp;CHAR(40)&amp;TRIM($D102)&amp;CHAR(41))</f>
        <v>Unnum-Level-3-List (Ul3)</v>
      </c>
      <c r="C102" s="7" t="s">
        <v>378</v>
      </c>
      <c r="D102" s="7" t="s">
        <v>614</v>
      </c>
      <c r="E102" s="38" t="str">
        <f t="shared" si="11"/>
        <v>Unnum-Level-3-List (Ul3)</v>
      </c>
      <c r="F102" s="5">
        <v>1</v>
      </c>
      <c r="G102" s="7" t="b">
        <v>0</v>
      </c>
      <c r="H102" s="5">
        <v>1</v>
      </c>
      <c r="I102" s="5" t="s">
        <v>67</v>
      </c>
      <c r="J102" s="5">
        <v>11</v>
      </c>
      <c r="K102" s="7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7">
        <v>108</v>
      </c>
      <c r="AB102" s="7">
        <v>0</v>
      </c>
      <c r="AC102" s="7">
        <v>6</v>
      </c>
      <c r="AD102" s="7">
        <v>6</v>
      </c>
      <c r="AE102" s="7">
        <v>2</v>
      </c>
      <c r="AF102" s="7">
        <v>24</v>
      </c>
      <c r="AG102" s="7">
        <v>0</v>
      </c>
      <c r="AH102" s="7">
        <v>0</v>
      </c>
      <c r="AI102" s="7">
        <v>10</v>
      </c>
      <c r="AJ102" s="7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39" t="s">
        <v>672</v>
      </c>
      <c r="AR102" s="5">
        <v>18</v>
      </c>
      <c r="AS102" s="7">
        <v>12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9" t="s">
        <v>66</v>
      </c>
      <c r="BJ102" s="37"/>
      <c r="BK102" s="5" t="s">
        <v>0</v>
      </c>
      <c r="BL102" s="5">
        <v>0</v>
      </c>
      <c r="BM102" s="5" t="b">
        <v>0</v>
      </c>
      <c r="CH102" s="7" t="b">
        <v>1</v>
      </c>
      <c r="CS102" s="31" t="str">
        <f t="shared" si="19"/>
        <v>.Unnum-Level-3-ListUl3</v>
      </c>
    </row>
    <row r="103" spans="1:97">
      <c r="A103" s="38" t="str">
        <f t="shared" si="23"/>
        <v>Unnum-Level-3-List-Paragraph (Ul3p)</v>
      </c>
      <c r="C103" s="7" t="s">
        <v>496</v>
      </c>
      <c r="D103" s="7" t="s">
        <v>615</v>
      </c>
      <c r="E103" s="38" t="str">
        <f t="shared" si="11"/>
        <v>Unnum-Level-3-List-Paragraph (Ul3p)</v>
      </c>
      <c r="F103" s="5">
        <v>1</v>
      </c>
      <c r="G103" s="7" t="b">
        <v>0</v>
      </c>
      <c r="H103" s="5">
        <v>1</v>
      </c>
      <c r="I103" s="5" t="s">
        <v>67</v>
      </c>
      <c r="J103" s="5">
        <v>11</v>
      </c>
      <c r="K103" s="7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7">
        <v>108</v>
      </c>
      <c r="AB103" s="7">
        <v>0</v>
      </c>
      <c r="AC103" s="7">
        <v>6</v>
      </c>
      <c r="AD103" s="7">
        <v>6</v>
      </c>
      <c r="AE103" s="7">
        <v>2</v>
      </c>
      <c r="AF103" s="7">
        <v>24</v>
      </c>
      <c r="AG103" s="7">
        <v>0</v>
      </c>
      <c r="AH103" s="7">
        <v>36</v>
      </c>
      <c r="AI103" s="7">
        <v>10</v>
      </c>
      <c r="AJ103" s="7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39" t="s">
        <v>672</v>
      </c>
      <c r="AR103" s="5">
        <v>18</v>
      </c>
      <c r="AS103" s="7">
        <v>12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9" t="s">
        <v>66</v>
      </c>
      <c r="BJ103" s="37"/>
      <c r="BK103" s="5" t="s">
        <v>0</v>
      </c>
      <c r="BL103" s="5">
        <v>0</v>
      </c>
      <c r="BM103" s="5" t="b">
        <v>0</v>
      </c>
      <c r="CH103" s="7" t="b">
        <v>1</v>
      </c>
      <c r="CJ103" s="7" t="b">
        <v>1</v>
      </c>
      <c r="CS103" s="31" t="str">
        <f t="shared" ref="CS103" si="24">"."&amp;SUBSTITUTE(SUBSTITUTE(SUBSTITUTE(SUBSTITUTE(A103, "(",""),")","")," ",""),"#","")</f>
        <v>.Unnum-Level-3-List-ParagraphUl3p</v>
      </c>
    </row>
    <row r="104" spans="1:97">
      <c r="A104" s="38" t="str">
        <f t="shared" si="23"/>
        <v>Alpha-Level-1-List (Al1)</v>
      </c>
      <c r="C104" s="7" t="s">
        <v>710</v>
      </c>
      <c r="D104" s="7" t="s">
        <v>616</v>
      </c>
      <c r="E104" s="38" t="str">
        <f t="shared" si="11"/>
        <v>Alpha-Level-1-List (Al1)</v>
      </c>
      <c r="F104" s="5">
        <v>1</v>
      </c>
      <c r="G104" s="7" t="b">
        <v>0</v>
      </c>
      <c r="H104" s="5">
        <v>1</v>
      </c>
      <c r="I104" s="5" t="s">
        <v>67</v>
      </c>
      <c r="J104" s="5">
        <v>11</v>
      </c>
      <c r="K104" s="7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7">
        <v>36</v>
      </c>
      <c r="AB104" s="7">
        <v>0</v>
      </c>
      <c r="AC104" s="7">
        <v>6</v>
      </c>
      <c r="AD104" s="7">
        <v>6</v>
      </c>
      <c r="AE104" s="7">
        <v>2</v>
      </c>
      <c r="AF104" s="7">
        <v>24</v>
      </c>
      <c r="AG104" s="7">
        <v>0</v>
      </c>
      <c r="AH104" s="7">
        <v>0</v>
      </c>
      <c r="AI104" s="7">
        <v>10</v>
      </c>
      <c r="AJ104" s="7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39" t="s">
        <v>672</v>
      </c>
      <c r="AR104" s="5">
        <v>18</v>
      </c>
      <c r="AS104" s="7">
        <v>12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9" t="s">
        <v>66</v>
      </c>
      <c r="BJ104" s="37"/>
      <c r="BK104" s="5" t="s">
        <v>0</v>
      </c>
      <c r="BL104" s="5">
        <v>0</v>
      </c>
      <c r="BM104" s="5" t="b">
        <v>0</v>
      </c>
      <c r="CE104" s="7" t="b">
        <v>1</v>
      </c>
      <c r="CS104" s="31" t="str">
        <f t="shared" si="19"/>
        <v>.Alpha-Level-1-ListAl1</v>
      </c>
    </row>
    <row r="105" spans="1:97">
      <c r="A105" s="38" t="str">
        <f t="shared" si="23"/>
        <v>Alpha-Level-1-List-Paragraph (Al1p)</v>
      </c>
      <c r="C105" s="7" t="s">
        <v>704</v>
      </c>
      <c r="D105" s="7" t="s">
        <v>617</v>
      </c>
      <c r="E105" s="38" t="str">
        <f t="shared" si="11"/>
        <v>Alpha-Level-1-List-Paragraph (Al1p)</v>
      </c>
      <c r="F105" s="5">
        <v>1</v>
      </c>
      <c r="G105" s="7" t="b">
        <v>0</v>
      </c>
      <c r="H105" s="5">
        <v>1</v>
      </c>
      <c r="I105" s="5" t="s">
        <v>67</v>
      </c>
      <c r="J105" s="5">
        <v>11</v>
      </c>
      <c r="K105" s="7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7">
        <v>36</v>
      </c>
      <c r="AB105" s="7">
        <v>0</v>
      </c>
      <c r="AC105" s="7">
        <v>6</v>
      </c>
      <c r="AD105" s="7">
        <v>6</v>
      </c>
      <c r="AE105" s="7">
        <v>2</v>
      </c>
      <c r="AF105" s="7">
        <v>24</v>
      </c>
      <c r="AG105" s="7">
        <v>0</v>
      </c>
      <c r="AH105" s="7">
        <v>36</v>
      </c>
      <c r="AI105" s="7">
        <v>10</v>
      </c>
      <c r="AJ105" s="7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39" t="s">
        <v>672</v>
      </c>
      <c r="AR105" s="5">
        <v>18</v>
      </c>
      <c r="AS105" s="7">
        <v>12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9" t="s">
        <v>66</v>
      </c>
      <c r="BJ105" s="37"/>
      <c r="BK105" s="5" t="s">
        <v>0</v>
      </c>
      <c r="BL105" s="5">
        <v>0</v>
      </c>
      <c r="BM105" s="5" t="b">
        <v>0</v>
      </c>
      <c r="CE105" s="7" t="b">
        <v>1</v>
      </c>
      <c r="CJ105" s="7" t="b">
        <v>1</v>
      </c>
      <c r="CS105" s="31" t="str">
        <f t="shared" ref="CS105" si="25">"."&amp;SUBSTITUTE(SUBSTITUTE(SUBSTITUTE(SUBSTITUTE(A105, "(",""),")","")," ",""),"#","")</f>
        <v>.Alpha-Level-1-List-ParagraphAl1p</v>
      </c>
    </row>
    <row r="106" spans="1:97">
      <c r="A106" s="38" t="str">
        <f t="shared" si="23"/>
        <v>Alpha-Level-2-List (Al2)</v>
      </c>
      <c r="C106" s="7" t="s">
        <v>705</v>
      </c>
      <c r="D106" s="7" t="s">
        <v>618</v>
      </c>
      <c r="E106" s="38" t="str">
        <f t="shared" si="11"/>
        <v>Alpha-Level-2-List (Al2)</v>
      </c>
      <c r="F106" s="5">
        <v>1</v>
      </c>
      <c r="G106" s="7" t="b">
        <v>0</v>
      </c>
      <c r="H106" s="5">
        <v>1</v>
      </c>
      <c r="I106" s="5" t="s">
        <v>67</v>
      </c>
      <c r="J106" s="5">
        <v>11</v>
      </c>
      <c r="K106" s="7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7">
        <v>72</v>
      </c>
      <c r="AB106" s="7">
        <v>0</v>
      </c>
      <c r="AC106" s="7">
        <v>6</v>
      </c>
      <c r="AD106" s="7">
        <v>6</v>
      </c>
      <c r="AE106" s="7">
        <v>2</v>
      </c>
      <c r="AF106" s="7">
        <v>24</v>
      </c>
      <c r="AG106" s="7">
        <v>0</v>
      </c>
      <c r="AH106" s="7">
        <v>0</v>
      </c>
      <c r="AI106" s="7">
        <v>10</v>
      </c>
      <c r="AJ106" s="7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39" t="s">
        <v>672</v>
      </c>
      <c r="AR106" s="5">
        <v>18</v>
      </c>
      <c r="AS106" s="7">
        <v>12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9" t="s">
        <v>66</v>
      </c>
      <c r="BJ106" s="37"/>
      <c r="BK106" s="5" t="s">
        <v>0</v>
      </c>
      <c r="BL106" s="5">
        <v>0</v>
      </c>
      <c r="BM106" s="5" t="b">
        <v>0</v>
      </c>
      <c r="CG106" s="7" t="b">
        <v>1</v>
      </c>
      <c r="CS106" s="31" t="str">
        <f t="shared" si="19"/>
        <v>.Alpha-Level-2-ListAl2</v>
      </c>
    </row>
    <row r="107" spans="1:97">
      <c r="A107" s="38" t="str">
        <f t="shared" si="23"/>
        <v>Alpha-Level-2-List-Paragraph (Al2p)</v>
      </c>
      <c r="C107" s="7" t="s">
        <v>706</v>
      </c>
      <c r="D107" s="7" t="s">
        <v>619</v>
      </c>
      <c r="E107" s="38" t="str">
        <f t="shared" si="11"/>
        <v>Alpha-Level-2-List-Paragraph (Al2p)</v>
      </c>
      <c r="F107" s="5">
        <v>1</v>
      </c>
      <c r="G107" s="7" t="b">
        <v>0</v>
      </c>
      <c r="H107" s="5">
        <v>1</v>
      </c>
      <c r="I107" s="5" t="s">
        <v>67</v>
      </c>
      <c r="J107" s="5">
        <v>11</v>
      </c>
      <c r="K107" s="7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7">
        <v>72</v>
      </c>
      <c r="AB107" s="7">
        <v>0</v>
      </c>
      <c r="AC107" s="7">
        <v>6</v>
      </c>
      <c r="AD107" s="7">
        <v>6</v>
      </c>
      <c r="AE107" s="7">
        <v>2</v>
      </c>
      <c r="AF107" s="7">
        <v>24</v>
      </c>
      <c r="AG107" s="7">
        <v>0</v>
      </c>
      <c r="AH107" s="7">
        <v>36</v>
      </c>
      <c r="AI107" s="7">
        <v>10</v>
      </c>
      <c r="AJ107" s="7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39" t="s">
        <v>672</v>
      </c>
      <c r="AR107" s="5">
        <v>18</v>
      </c>
      <c r="AS107" s="7">
        <v>12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9" t="s">
        <v>66</v>
      </c>
      <c r="BJ107" s="37"/>
      <c r="BK107" s="5" t="s">
        <v>0</v>
      </c>
      <c r="BL107" s="5">
        <v>0</v>
      </c>
      <c r="BM107" s="5" t="b">
        <v>0</v>
      </c>
      <c r="CG107" s="7" t="b">
        <v>1</v>
      </c>
      <c r="CJ107" s="7" t="b">
        <v>1</v>
      </c>
      <c r="CS107" s="31" t="str">
        <f t="shared" ref="CS107" si="26">"."&amp;SUBSTITUTE(SUBSTITUTE(SUBSTITUTE(SUBSTITUTE(A107, "(",""),")","")," ",""),"#","")</f>
        <v>.Alpha-Level-2-List-ParagraphAl2p</v>
      </c>
    </row>
    <row r="108" spans="1:97">
      <c r="A108" s="38" t="str">
        <f t="shared" si="23"/>
        <v>Alpha-Level-3-List (Al3)</v>
      </c>
      <c r="C108" s="7" t="s">
        <v>707</v>
      </c>
      <c r="D108" s="7" t="s">
        <v>620</v>
      </c>
      <c r="E108" s="38" t="str">
        <f t="shared" si="11"/>
        <v>Alpha-Level-3-List (Al3)</v>
      </c>
      <c r="F108" s="5">
        <v>1</v>
      </c>
      <c r="G108" s="7" t="b">
        <v>0</v>
      </c>
      <c r="H108" s="5">
        <v>1</v>
      </c>
      <c r="I108" s="5" t="s">
        <v>67</v>
      </c>
      <c r="J108" s="5">
        <v>11</v>
      </c>
      <c r="K108" s="7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7">
        <v>108</v>
      </c>
      <c r="AB108" s="7">
        <v>0</v>
      </c>
      <c r="AC108" s="7">
        <v>6</v>
      </c>
      <c r="AD108" s="7">
        <v>6</v>
      </c>
      <c r="AE108" s="7">
        <v>2</v>
      </c>
      <c r="AF108" s="7">
        <v>24</v>
      </c>
      <c r="AG108" s="7">
        <v>0</v>
      </c>
      <c r="AH108" s="7">
        <v>0</v>
      </c>
      <c r="AI108" s="7">
        <v>10</v>
      </c>
      <c r="AJ108" s="7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39" t="s">
        <v>672</v>
      </c>
      <c r="AR108" s="5">
        <v>18</v>
      </c>
      <c r="AS108" s="7">
        <v>12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9" t="s">
        <v>66</v>
      </c>
      <c r="BJ108" s="37"/>
      <c r="BK108" s="5" t="s">
        <v>0</v>
      </c>
      <c r="BL108" s="5">
        <v>0</v>
      </c>
      <c r="BM108" s="5" t="b">
        <v>0</v>
      </c>
      <c r="CI108" s="7" t="b">
        <v>1</v>
      </c>
      <c r="CS108" s="31" t="str">
        <f t="shared" si="19"/>
        <v>.Alpha-Level-3-ListAl3</v>
      </c>
    </row>
    <row r="109" spans="1:97">
      <c r="A109" s="38" t="str">
        <f t="shared" si="23"/>
        <v>Alpha-Level-3-List-Paragraph (Al3p)</v>
      </c>
      <c r="C109" s="7" t="s">
        <v>708</v>
      </c>
      <c r="D109" s="7" t="s">
        <v>621</v>
      </c>
      <c r="E109" s="38" t="str">
        <f t="shared" si="11"/>
        <v>Alpha-Level-3-List-Paragraph (Al3p)</v>
      </c>
      <c r="F109" s="5">
        <v>1</v>
      </c>
      <c r="G109" s="7" t="b">
        <v>0</v>
      </c>
      <c r="H109" s="5">
        <v>1</v>
      </c>
      <c r="I109" s="5" t="s">
        <v>67</v>
      </c>
      <c r="J109" s="5">
        <v>11</v>
      </c>
      <c r="K109" s="7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7">
        <v>108</v>
      </c>
      <c r="AB109" s="7">
        <v>0</v>
      </c>
      <c r="AC109" s="7">
        <v>6</v>
      </c>
      <c r="AD109" s="7">
        <v>6</v>
      </c>
      <c r="AE109" s="7">
        <v>2</v>
      </c>
      <c r="AF109" s="7">
        <v>24</v>
      </c>
      <c r="AG109" s="7">
        <v>0</v>
      </c>
      <c r="AH109" s="7">
        <v>36</v>
      </c>
      <c r="AI109" s="7">
        <v>10</v>
      </c>
      <c r="AJ109" s="7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39" t="s">
        <v>672</v>
      </c>
      <c r="AR109" s="5">
        <v>18</v>
      </c>
      <c r="AS109" s="7">
        <v>12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9" t="s">
        <v>66</v>
      </c>
      <c r="BJ109" s="37"/>
      <c r="BK109" s="5" t="s">
        <v>0</v>
      </c>
      <c r="BL109" s="5">
        <v>0</v>
      </c>
      <c r="BM109" s="5" t="b">
        <v>0</v>
      </c>
      <c r="CI109" s="7" t="b">
        <v>1</v>
      </c>
      <c r="CJ109" s="7" t="b">
        <v>1</v>
      </c>
      <c r="CS109" s="31" t="str">
        <f t="shared" ref="CS109" si="27">"."&amp;SUBSTITUTE(SUBSTITUTE(SUBSTITUTE(SUBSTITUTE(A109, "(",""),")","")," ",""),"#","")</f>
        <v>.Alpha-Level-3-List-ParagraphAl3p</v>
      </c>
    </row>
    <row r="110" spans="1:97">
      <c r="A110" s="38" t="str">
        <f t="shared" si="23"/>
        <v>Bulleted-Paragraph (Bp)</v>
      </c>
      <c r="C110" s="7" t="s">
        <v>379</v>
      </c>
      <c r="D110" s="7" t="s">
        <v>380</v>
      </c>
      <c r="E110" s="38" t="str">
        <f t="shared" si="11"/>
        <v>Bulleted-Paragraph (Bp)</v>
      </c>
      <c r="F110" s="5">
        <v>1</v>
      </c>
      <c r="G110" s="7" t="b">
        <v>0</v>
      </c>
      <c r="H110" s="5">
        <v>1</v>
      </c>
      <c r="I110" s="5" t="s">
        <v>67</v>
      </c>
      <c r="J110" s="5">
        <v>12</v>
      </c>
      <c r="K110" s="7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0</v>
      </c>
      <c r="Y110" s="5" t="b">
        <v>0</v>
      </c>
      <c r="Z110" s="5" t="b">
        <v>0</v>
      </c>
      <c r="AA110" s="7">
        <v>0</v>
      </c>
      <c r="AB110" s="7">
        <v>0</v>
      </c>
      <c r="AC110" s="7">
        <v>6</v>
      </c>
      <c r="AD110" s="7">
        <v>6</v>
      </c>
      <c r="AE110" s="7">
        <v>2</v>
      </c>
      <c r="AF110" s="7">
        <v>24</v>
      </c>
      <c r="AG110" s="7">
        <v>0</v>
      </c>
      <c r="AH110" s="7">
        <v>36</v>
      </c>
      <c r="AI110" s="7">
        <v>10</v>
      </c>
      <c r="AJ110" s="7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39" t="s">
        <v>672</v>
      </c>
      <c r="AR110" s="5">
        <v>18</v>
      </c>
      <c r="AS110" s="7">
        <v>12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9" t="s">
        <v>66</v>
      </c>
      <c r="BJ110" s="37"/>
      <c r="BK110" s="5" t="s">
        <v>0</v>
      </c>
      <c r="BL110" s="5">
        <v>0</v>
      </c>
      <c r="BM110" s="5" t="b">
        <v>0</v>
      </c>
      <c r="CS110" s="31" t="str">
        <f t="shared" si="19"/>
        <v>.Bulleted-ParagraphBp</v>
      </c>
    </row>
    <row r="111" spans="1:97">
      <c r="A111" s="38" t="str">
        <f t="shared" si="23"/>
        <v>Numbered-Paragraph (Np)</v>
      </c>
      <c r="C111" s="7" t="s">
        <v>381</v>
      </c>
      <c r="D111" s="7" t="s">
        <v>382</v>
      </c>
      <c r="E111" s="38" t="str">
        <f t="shared" si="11"/>
        <v>Numbered-Paragraph (Np)</v>
      </c>
      <c r="F111" s="5">
        <v>1</v>
      </c>
      <c r="G111" s="7" t="b">
        <v>0</v>
      </c>
      <c r="H111" s="5">
        <v>1</v>
      </c>
      <c r="I111" s="5" t="s">
        <v>67</v>
      </c>
      <c r="J111" s="5">
        <v>12</v>
      </c>
      <c r="K111" s="7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0</v>
      </c>
      <c r="Y111" s="5" t="b">
        <v>0</v>
      </c>
      <c r="Z111" s="5" t="b">
        <v>0</v>
      </c>
      <c r="AA111" s="7">
        <v>0</v>
      </c>
      <c r="AB111" s="7">
        <v>0</v>
      </c>
      <c r="AC111" s="7">
        <v>6</v>
      </c>
      <c r="AD111" s="7">
        <v>6</v>
      </c>
      <c r="AE111" s="7">
        <v>2</v>
      </c>
      <c r="AF111" s="7">
        <v>24</v>
      </c>
      <c r="AG111" s="7">
        <v>0</v>
      </c>
      <c r="AH111" s="7">
        <v>36</v>
      </c>
      <c r="AI111" s="7">
        <v>10</v>
      </c>
      <c r="AJ111" s="7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39" t="s">
        <v>672</v>
      </c>
      <c r="AR111" s="5">
        <v>18</v>
      </c>
      <c r="AS111" s="7">
        <v>12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9" t="s">
        <v>66</v>
      </c>
      <c r="BJ111" s="37"/>
      <c r="BK111" s="5" t="s">
        <v>0</v>
      </c>
      <c r="BL111" s="5">
        <v>0</v>
      </c>
      <c r="BM111" s="5" t="b">
        <v>0</v>
      </c>
      <c r="CS111" s="31" t="str">
        <f t="shared" si="19"/>
        <v>.Numbered-ParagraphNp</v>
      </c>
    </row>
    <row r="112" spans="1:97">
      <c r="A112" s="38" t="str">
        <f t="shared" si="23"/>
        <v>List-Head (Lhead)</v>
      </c>
      <c r="C112" s="7" t="s">
        <v>497</v>
      </c>
      <c r="D112" s="7" t="s">
        <v>622</v>
      </c>
      <c r="E112" s="7" t="s">
        <v>430</v>
      </c>
      <c r="F112" s="5">
        <v>1</v>
      </c>
      <c r="G112" s="7" t="b">
        <v>0</v>
      </c>
      <c r="H112" s="5">
        <v>1</v>
      </c>
      <c r="I112" s="5" t="s">
        <v>68</v>
      </c>
      <c r="J112" s="5">
        <v>14</v>
      </c>
      <c r="K112" s="7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0</v>
      </c>
      <c r="Y112" s="5" t="b">
        <v>0</v>
      </c>
      <c r="Z112" s="5" t="b">
        <v>0</v>
      </c>
      <c r="AA112" s="7">
        <v>36</v>
      </c>
      <c r="AB112" s="7">
        <v>0</v>
      </c>
      <c r="AC112" s="7">
        <v>6</v>
      </c>
      <c r="AD112" s="7">
        <v>6</v>
      </c>
      <c r="AE112" s="7">
        <v>2</v>
      </c>
      <c r="AF112" s="7">
        <v>24</v>
      </c>
      <c r="AG112" s="7">
        <v>0</v>
      </c>
      <c r="AH112" s="7">
        <v>0</v>
      </c>
      <c r="AI112" s="7">
        <v>6</v>
      </c>
      <c r="AJ112" s="7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39" t="s">
        <v>672</v>
      </c>
      <c r="AR112" s="5">
        <v>18</v>
      </c>
      <c r="AS112" s="7">
        <v>12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9" t="s">
        <v>66</v>
      </c>
      <c r="BJ112" s="37"/>
      <c r="BK112" s="5" t="s">
        <v>0</v>
      </c>
      <c r="BL112" s="5">
        <v>0</v>
      </c>
      <c r="BM112" s="5" t="b">
        <v>0</v>
      </c>
      <c r="CS112" s="31" t="str">
        <f t="shared" si="19"/>
        <v>.List-HeadLhead</v>
      </c>
    </row>
    <row r="113" spans="1:97">
      <c r="A113" s="38" t="str">
        <f t="shared" si="23"/>
        <v>Generic-Footnote (Ftnt)</v>
      </c>
      <c r="C113" s="7" t="s">
        <v>498</v>
      </c>
      <c r="D113" s="7" t="s">
        <v>499</v>
      </c>
      <c r="E113" s="38" t="str">
        <f t="shared" si="11"/>
        <v>Generic-Footnote (Ftnt)</v>
      </c>
      <c r="F113" s="5">
        <v>1</v>
      </c>
      <c r="G113" s="7" t="b">
        <v>0</v>
      </c>
      <c r="H113" s="5">
        <v>1</v>
      </c>
      <c r="I113" s="5" t="s">
        <v>67</v>
      </c>
      <c r="J113" s="5">
        <v>10</v>
      </c>
      <c r="K113" s="7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0</v>
      </c>
      <c r="Y113" s="5" t="b">
        <v>0</v>
      </c>
      <c r="Z113" s="5" t="b">
        <v>0</v>
      </c>
      <c r="AA113" s="7">
        <v>0</v>
      </c>
      <c r="AB113" s="7">
        <v>0</v>
      </c>
      <c r="AC113" s="7">
        <v>6</v>
      </c>
      <c r="AD113" s="7">
        <v>6</v>
      </c>
      <c r="AE113" s="7">
        <v>2</v>
      </c>
      <c r="AF113" s="7">
        <v>24</v>
      </c>
      <c r="AG113" s="7">
        <v>0</v>
      </c>
      <c r="AH113" s="7">
        <v>36</v>
      </c>
      <c r="AI113" s="7">
        <v>10</v>
      </c>
      <c r="AJ113" s="7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39" t="s">
        <v>672</v>
      </c>
      <c r="AR113" s="5">
        <v>1</v>
      </c>
      <c r="AS113" s="7">
        <v>36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9" t="s">
        <v>66</v>
      </c>
      <c r="BJ113" s="37"/>
      <c r="BK113" s="5" t="s">
        <v>0</v>
      </c>
      <c r="BL113" s="5">
        <v>0</v>
      </c>
      <c r="BM113" s="5" t="b">
        <v>0</v>
      </c>
      <c r="CS113" s="31" t="str">
        <f t="shared" ref="CS113" si="28">"."&amp;SUBSTITUTE(SUBSTITUTE(SUBSTITUTE(SUBSTITUTE(A113, "(",""),")","")," ",""),"#","")</f>
        <v>.Generic-FootnoteFtnt</v>
      </c>
    </row>
    <row r="114" spans="1:97">
      <c r="A114" s="38" t="str">
        <f t="shared" si="23"/>
        <v>Reference-Entry (Ref)</v>
      </c>
      <c r="C114" s="7" t="s">
        <v>383</v>
      </c>
      <c r="D114" s="7" t="s">
        <v>623</v>
      </c>
      <c r="E114" s="38" t="str">
        <f t="shared" si="11"/>
        <v>Reference-Entry (Ref)</v>
      </c>
      <c r="F114" s="5">
        <v>1</v>
      </c>
      <c r="G114" s="7" t="b">
        <v>0</v>
      </c>
      <c r="H114" s="5">
        <v>1</v>
      </c>
      <c r="I114" s="5" t="s">
        <v>67</v>
      </c>
      <c r="J114" s="5">
        <v>12</v>
      </c>
      <c r="K114" s="7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0</v>
      </c>
      <c r="Y114" s="5" t="b">
        <v>0</v>
      </c>
      <c r="Z114" s="5" t="b">
        <v>0</v>
      </c>
      <c r="AA114" s="7">
        <v>0</v>
      </c>
      <c r="AB114" s="7">
        <v>0</v>
      </c>
      <c r="AC114" s="7">
        <v>6</v>
      </c>
      <c r="AD114" s="7">
        <v>6</v>
      </c>
      <c r="AE114" s="7">
        <v>2</v>
      </c>
      <c r="AF114" s="7">
        <v>24</v>
      </c>
      <c r="AG114" s="7">
        <v>0</v>
      </c>
      <c r="AH114" s="7">
        <v>36</v>
      </c>
      <c r="AI114" s="7">
        <v>10</v>
      </c>
      <c r="AJ114" s="7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39" t="s">
        <v>672</v>
      </c>
      <c r="AR114" s="5">
        <v>1</v>
      </c>
      <c r="AS114" s="7">
        <v>36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9" t="s">
        <v>66</v>
      </c>
      <c r="BJ114" s="37"/>
      <c r="BK114" s="5" t="s">
        <v>0</v>
      </c>
      <c r="BL114" s="5">
        <v>0</v>
      </c>
      <c r="BM114" s="5" t="b">
        <v>0</v>
      </c>
      <c r="CS114" s="31" t="str">
        <f t="shared" si="19"/>
        <v>.Reference-EntryRef</v>
      </c>
    </row>
    <row r="115" spans="1:97">
      <c r="A115" s="38" t="str">
        <f t="shared" si="23"/>
        <v>Source-Note (Srcnt)</v>
      </c>
      <c r="C115" s="7" t="s">
        <v>384</v>
      </c>
      <c r="D115" s="7" t="s">
        <v>624</v>
      </c>
      <c r="E115" s="7" t="s">
        <v>430</v>
      </c>
      <c r="F115" s="5">
        <v>1</v>
      </c>
      <c r="G115" s="7" t="b">
        <v>0</v>
      </c>
      <c r="H115" s="5">
        <v>1</v>
      </c>
      <c r="I115" s="5" t="s">
        <v>67</v>
      </c>
      <c r="J115" s="5">
        <v>10</v>
      </c>
      <c r="K115" s="7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7">
        <v>0</v>
      </c>
      <c r="AB115" s="7">
        <v>0</v>
      </c>
      <c r="AC115" s="7">
        <v>6</v>
      </c>
      <c r="AD115" s="7">
        <v>6</v>
      </c>
      <c r="AE115" s="7">
        <v>2</v>
      </c>
      <c r="AF115" s="7">
        <v>24</v>
      </c>
      <c r="AG115" s="7">
        <v>0</v>
      </c>
      <c r="AH115" s="7">
        <v>36</v>
      </c>
      <c r="AI115" s="7">
        <v>10</v>
      </c>
      <c r="AJ115" s="7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39" t="s">
        <v>672</v>
      </c>
      <c r="AR115" s="5">
        <v>1</v>
      </c>
      <c r="AS115" s="7">
        <v>36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9" t="s">
        <v>66</v>
      </c>
      <c r="BJ115" s="37"/>
      <c r="BK115" s="5" t="s">
        <v>0</v>
      </c>
      <c r="BL115" s="5">
        <v>0</v>
      </c>
      <c r="BM115" s="5" t="b">
        <v>0</v>
      </c>
      <c r="CS115" s="31" t="str">
        <f t="shared" si="19"/>
        <v>.Source-NoteSrcnt</v>
      </c>
    </row>
    <row r="116" spans="1:97">
      <c r="A116" s="38" t="str">
        <f t="shared" si="23"/>
        <v>Index-Entry (Idx1)</v>
      </c>
      <c r="C116" s="7" t="s">
        <v>500</v>
      </c>
      <c r="D116" s="7" t="s">
        <v>633</v>
      </c>
      <c r="E116" s="38" t="str">
        <f t="shared" si="11"/>
        <v>Index-Entry (Idx1)</v>
      </c>
      <c r="F116" s="5">
        <v>1</v>
      </c>
      <c r="G116" s="7" t="b">
        <v>0</v>
      </c>
      <c r="H116" s="5">
        <v>1</v>
      </c>
      <c r="I116" s="5" t="s">
        <v>67</v>
      </c>
      <c r="J116" s="5">
        <v>11</v>
      </c>
      <c r="K116" s="7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7">
        <v>18</v>
      </c>
      <c r="AB116" s="7">
        <v>0</v>
      </c>
      <c r="AC116" s="7">
        <v>6</v>
      </c>
      <c r="AD116" s="7">
        <v>6</v>
      </c>
      <c r="AE116" s="7">
        <v>2</v>
      </c>
      <c r="AF116" s="7">
        <v>24</v>
      </c>
      <c r="AG116" s="7">
        <v>0</v>
      </c>
      <c r="AH116" s="7">
        <v>-18</v>
      </c>
      <c r="AI116" s="7">
        <v>10</v>
      </c>
      <c r="AJ116" s="7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48" t="s">
        <v>69</v>
      </c>
      <c r="AR116" s="5">
        <v>1</v>
      </c>
      <c r="AS116" s="7">
        <v>36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9" t="s">
        <v>66</v>
      </c>
      <c r="BJ116" s="37"/>
      <c r="BK116" s="5" t="s">
        <v>0</v>
      </c>
      <c r="BL116" s="5">
        <v>0</v>
      </c>
      <c r="BM116" s="5" t="b">
        <v>0</v>
      </c>
      <c r="CS116" s="31" t="str">
        <f t="shared" ref="CS116:CS118" si="29">"."&amp;SUBSTITUTE(SUBSTITUTE(SUBSTITUTE(SUBSTITUTE(A116, "(",""),")","")," ",""),"#","")</f>
        <v>.Index-EntryIdx1</v>
      </c>
    </row>
    <row r="117" spans="1:97">
      <c r="A117" s="38" t="str">
        <f t="shared" si="23"/>
        <v>Index-Sub-Entry (Idx2)</v>
      </c>
      <c r="C117" s="7" t="s">
        <v>501</v>
      </c>
      <c r="D117" s="7" t="s">
        <v>634</v>
      </c>
      <c r="E117" s="38" t="str">
        <f t="shared" si="11"/>
        <v>Index-Sub-Entry (Idx2)</v>
      </c>
      <c r="F117" s="5">
        <v>1</v>
      </c>
      <c r="G117" s="7" t="b">
        <v>0</v>
      </c>
      <c r="H117" s="5">
        <v>1</v>
      </c>
      <c r="I117" s="5" t="s">
        <v>67</v>
      </c>
      <c r="J117" s="5">
        <v>11</v>
      </c>
      <c r="K117" s="7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7">
        <v>54</v>
      </c>
      <c r="AB117" s="7">
        <v>0</v>
      </c>
      <c r="AC117" s="7">
        <v>6</v>
      </c>
      <c r="AD117" s="7">
        <v>6</v>
      </c>
      <c r="AE117" s="7">
        <v>2</v>
      </c>
      <c r="AF117" s="7">
        <v>24</v>
      </c>
      <c r="AG117" s="7">
        <v>0</v>
      </c>
      <c r="AH117" s="7">
        <v>-18</v>
      </c>
      <c r="AI117" s="7">
        <v>10</v>
      </c>
      <c r="AJ117" s="7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48" t="s">
        <v>69</v>
      </c>
      <c r="AR117" s="5">
        <v>1</v>
      </c>
      <c r="AS117" s="7">
        <v>36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9" t="s">
        <v>66</v>
      </c>
      <c r="BJ117" s="37"/>
      <c r="BK117" s="5" t="s">
        <v>0</v>
      </c>
      <c r="BL117" s="5">
        <v>0</v>
      </c>
      <c r="BM117" s="5" t="b">
        <v>0</v>
      </c>
      <c r="CS117" s="31" t="str">
        <f t="shared" si="29"/>
        <v>.Index-Sub-EntryIdx2</v>
      </c>
    </row>
    <row r="118" spans="1:97">
      <c r="A118" s="38" t="str">
        <f t="shared" si="23"/>
        <v>Index-Sub-Sub-Entry (Idx3)</v>
      </c>
      <c r="C118" s="7" t="s">
        <v>502</v>
      </c>
      <c r="D118" s="7" t="s">
        <v>635</v>
      </c>
      <c r="E118" s="38" t="str">
        <f t="shared" si="11"/>
        <v>Index-Sub-Sub-Entry (Idx3)</v>
      </c>
      <c r="F118" s="5">
        <v>1</v>
      </c>
      <c r="G118" s="7" t="b">
        <v>0</v>
      </c>
      <c r="H118" s="5">
        <v>1</v>
      </c>
      <c r="I118" s="5" t="s">
        <v>67</v>
      </c>
      <c r="J118" s="5">
        <v>11</v>
      </c>
      <c r="K118" s="7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7">
        <v>90</v>
      </c>
      <c r="AB118" s="7">
        <v>0</v>
      </c>
      <c r="AC118" s="7">
        <v>6</v>
      </c>
      <c r="AD118" s="7">
        <v>6</v>
      </c>
      <c r="AE118" s="7">
        <v>2</v>
      </c>
      <c r="AF118" s="7">
        <v>24</v>
      </c>
      <c r="AG118" s="7">
        <v>0</v>
      </c>
      <c r="AH118" s="7">
        <v>-18</v>
      </c>
      <c r="AI118" s="7">
        <v>10</v>
      </c>
      <c r="AJ118" s="7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48" t="s">
        <v>69</v>
      </c>
      <c r="AR118" s="5">
        <v>1</v>
      </c>
      <c r="AS118" s="7">
        <v>36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9" t="s">
        <v>66</v>
      </c>
      <c r="BJ118" s="37"/>
      <c r="BK118" s="5" t="s">
        <v>0</v>
      </c>
      <c r="BL118" s="5">
        <v>0</v>
      </c>
      <c r="BM118" s="5" t="b">
        <v>0</v>
      </c>
      <c r="CS118" s="31" t="str">
        <f t="shared" si="29"/>
        <v>.Index-Sub-Sub-EntryIdx3</v>
      </c>
    </row>
    <row r="119" spans="1:97">
      <c r="A119" s="38" t="str">
        <f t="shared" si="23"/>
        <v>Publisher (Pub)</v>
      </c>
      <c r="C119" s="7" t="s">
        <v>503</v>
      </c>
      <c r="D119" s="7" t="s">
        <v>504</v>
      </c>
      <c r="E119" s="7" t="s">
        <v>430</v>
      </c>
      <c r="F119" s="5">
        <v>1</v>
      </c>
      <c r="G119" s="7" t="b">
        <v>0</v>
      </c>
      <c r="H119" s="5">
        <v>1</v>
      </c>
      <c r="I119" s="5" t="s">
        <v>67</v>
      </c>
      <c r="J119" s="5">
        <v>11</v>
      </c>
      <c r="K119" s="7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7">
        <v>0</v>
      </c>
      <c r="AB119" s="7">
        <v>0</v>
      </c>
      <c r="AC119" s="7">
        <v>6</v>
      </c>
      <c r="AD119" s="7">
        <v>6</v>
      </c>
      <c r="AE119" s="7">
        <v>2</v>
      </c>
      <c r="AF119" s="7">
        <v>24</v>
      </c>
      <c r="AG119" s="7">
        <v>1</v>
      </c>
      <c r="AH119" s="7">
        <v>0</v>
      </c>
      <c r="AI119" s="7">
        <v>10</v>
      </c>
      <c r="AJ119" s="7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49" t="s">
        <v>669</v>
      </c>
      <c r="AR119" s="5">
        <v>1</v>
      </c>
      <c r="AS119" s="7">
        <v>36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9" t="s">
        <v>66</v>
      </c>
      <c r="BJ119" s="37"/>
      <c r="BK119" s="5" t="s">
        <v>0</v>
      </c>
      <c r="BL119" s="5">
        <v>0</v>
      </c>
      <c r="BM119" s="5" t="b">
        <v>0</v>
      </c>
      <c r="CS119" s="31" t="str">
        <f t="shared" si="19"/>
        <v>.PublisherPub</v>
      </c>
    </row>
    <row r="120" spans="1:97">
      <c r="A120" s="38" t="str">
        <f t="shared" si="23"/>
        <v>Cities (Cit)</v>
      </c>
      <c r="C120" s="7" t="s">
        <v>505</v>
      </c>
      <c r="D120" s="7" t="s">
        <v>506</v>
      </c>
      <c r="E120" s="7" t="s">
        <v>430</v>
      </c>
      <c r="F120" s="5">
        <v>1</v>
      </c>
      <c r="G120" s="7" t="b">
        <v>0</v>
      </c>
      <c r="H120" s="5">
        <v>1</v>
      </c>
      <c r="I120" s="5" t="s">
        <v>67</v>
      </c>
      <c r="J120" s="5">
        <v>11</v>
      </c>
      <c r="K120" s="7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7">
        <v>0</v>
      </c>
      <c r="AB120" s="7">
        <v>0</v>
      </c>
      <c r="AC120" s="7">
        <v>6</v>
      </c>
      <c r="AD120" s="7">
        <v>6</v>
      </c>
      <c r="AE120" s="7">
        <v>2</v>
      </c>
      <c r="AF120" s="7">
        <v>24</v>
      </c>
      <c r="AG120" s="7">
        <v>1</v>
      </c>
      <c r="AH120" s="7">
        <v>0</v>
      </c>
      <c r="AI120" s="7">
        <v>10</v>
      </c>
      <c r="AJ120" s="7" t="b">
        <v>0</v>
      </c>
      <c r="AK120" s="5" t="b">
        <v>0</v>
      </c>
      <c r="AL120" s="5" t="b">
        <v>0</v>
      </c>
      <c r="AM120" s="6" t="s">
        <v>66</v>
      </c>
      <c r="AN120" s="5">
        <v>0</v>
      </c>
      <c r="AO120" s="5">
        <v>6</v>
      </c>
      <c r="AP120" s="5" t="b">
        <v>1</v>
      </c>
      <c r="AQ120" s="49" t="s">
        <v>669</v>
      </c>
      <c r="AR120" s="5">
        <v>1</v>
      </c>
      <c r="AS120" s="7">
        <v>36</v>
      </c>
      <c r="AT120" s="5" t="b">
        <v>0</v>
      </c>
      <c r="AU120" s="6" t="s">
        <v>66</v>
      </c>
      <c r="AV120" s="5">
        <v>0</v>
      </c>
      <c r="AW120" s="5">
        <v>6</v>
      </c>
      <c r="AX120" s="5" t="b">
        <v>0</v>
      </c>
      <c r="AY120" s="6" t="s">
        <v>66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9" t="s">
        <v>66</v>
      </c>
      <c r="BJ120" s="37"/>
      <c r="BK120" s="5" t="s">
        <v>0</v>
      </c>
      <c r="BL120" s="5">
        <v>0</v>
      </c>
      <c r="BM120" s="5" t="b">
        <v>0</v>
      </c>
      <c r="CS120" s="31" t="str">
        <f t="shared" ref="CS120" si="30">"."&amp;SUBSTITUTE(SUBSTITUTE(SUBSTITUTE(SUBSTITUTE(A120, "(",""),")","")," ",""),"#","")</f>
        <v>.CitiesCit</v>
      </c>
    </row>
    <row r="121" spans="1:97">
      <c r="A121" s="38" t="str">
        <f t="shared" si="23"/>
        <v>Logo-Placement (Logo)</v>
      </c>
      <c r="C121" s="7" t="s">
        <v>385</v>
      </c>
      <c r="D121" s="7" t="s">
        <v>625</v>
      </c>
      <c r="E121" s="7" t="s">
        <v>430</v>
      </c>
      <c r="F121" s="5">
        <v>1</v>
      </c>
      <c r="G121" s="7" t="b">
        <v>0</v>
      </c>
      <c r="H121" s="5">
        <v>1</v>
      </c>
      <c r="I121" s="5" t="s">
        <v>1</v>
      </c>
      <c r="J121" s="5">
        <v>11</v>
      </c>
      <c r="K121" s="7" t="b">
        <v>0</v>
      </c>
      <c r="L121" s="5" t="b">
        <v>0</v>
      </c>
      <c r="M121" s="8" t="s">
        <v>71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0</v>
      </c>
      <c r="Y121" s="5" t="b">
        <v>0</v>
      </c>
      <c r="Z121" s="5" t="b">
        <v>0</v>
      </c>
      <c r="AA121" s="7">
        <v>0</v>
      </c>
      <c r="AB121" s="7">
        <v>0</v>
      </c>
      <c r="AC121" s="7">
        <v>6</v>
      </c>
      <c r="AD121" s="7">
        <v>6</v>
      </c>
      <c r="AE121" s="7">
        <v>2</v>
      </c>
      <c r="AF121" s="7">
        <v>24</v>
      </c>
      <c r="AG121" s="7">
        <v>1</v>
      </c>
      <c r="AH121" s="7">
        <v>0</v>
      </c>
      <c r="AI121" s="7">
        <v>10</v>
      </c>
      <c r="AJ121" s="7" t="b">
        <v>0</v>
      </c>
      <c r="AK121" s="5" t="b">
        <v>0</v>
      </c>
      <c r="AL121" s="5" t="b">
        <v>1</v>
      </c>
      <c r="AM121" s="41" t="s">
        <v>71</v>
      </c>
      <c r="AN121" s="5">
        <v>1</v>
      </c>
      <c r="AO121" s="5">
        <v>24</v>
      </c>
      <c r="AP121" s="5" t="b">
        <v>1</v>
      </c>
      <c r="AQ121" s="41" t="s">
        <v>71</v>
      </c>
      <c r="AR121" s="5">
        <v>1</v>
      </c>
      <c r="AS121" s="7">
        <v>36</v>
      </c>
      <c r="AT121" s="5" t="b">
        <v>1</v>
      </c>
      <c r="AU121" s="41" t="s">
        <v>71</v>
      </c>
      <c r="AV121" s="5">
        <v>1</v>
      </c>
      <c r="AW121" s="5">
        <v>24</v>
      </c>
      <c r="AX121" s="5" t="b">
        <v>1</v>
      </c>
      <c r="AY121" s="41" t="s">
        <v>71</v>
      </c>
      <c r="AZ121" s="5">
        <v>1</v>
      </c>
      <c r="BA121" s="5">
        <v>24</v>
      </c>
      <c r="BB121" s="5">
        <v>4</v>
      </c>
      <c r="BC121" s="5">
        <v>4</v>
      </c>
      <c r="BD121" s="5">
        <v>1</v>
      </c>
      <c r="BE121" s="5">
        <v>1</v>
      </c>
      <c r="BF121" s="9" t="s">
        <v>66</v>
      </c>
      <c r="BJ121" s="37"/>
      <c r="BK121" s="5" t="s">
        <v>0</v>
      </c>
      <c r="BL121" s="5">
        <v>0</v>
      </c>
      <c r="BM121" s="5" t="b">
        <v>0</v>
      </c>
      <c r="CS121" s="31" t="str">
        <f t="shared" si="19"/>
        <v>.Logo-PlacementLogo</v>
      </c>
    </row>
    <row r="122" spans="1:97">
      <c r="A122" s="38" t="str">
        <f t="shared" si="23"/>
        <v>Imprint (Imp)</v>
      </c>
      <c r="C122" s="7" t="s">
        <v>386</v>
      </c>
      <c r="D122" s="7" t="s">
        <v>626</v>
      </c>
      <c r="E122" s="7" t="s">
        <v>430</v>
      </c>
      <c r="F122" s="5">
        <v>1</v>
      </c>
      <c r="G122" s="7" t="b">
        <v>0</v>
      </c>
      <c r="H122" s="5">
        <v>1</v>
      </c>
      <c r="I122" s="5" t="s">
        <v>67</v>
      </c>
      <c r="J122" s="5">
        <v>11</v>
      </c>
      <c r="K122" s="7" t="b">
        <v>0</v>
      </c>
      <c r="L122" s="5" t="b">
        <v>0</v>
      </c>
      <c r="M122" s="6" t="s">
        <v>66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7">
        <v>0</v>
      </c>
      <c r="AB122" s="7">
        <v>0</v>
      </c>
      <c r="AC122" s="7">
        <v>6</v>
      </c>
      <c r="AD122" s="7">
        <v>6</v>
      </c>
      <c r="AE122" s="7">
        <v>2</v>
      </c>
      <c r="AF122" s="7">
        <v>24</v>
      </c>
      <c r="AG122" s="7">
        <v>1</v>
      </c>
      <c r="AH122" s="7">
        <v>0</v>
      </c>
      <c r="AI122" s="7">
        <v>10</v>
      </c>
      <c r="AJ122" s="7" t="b">
        <v>0</v>
      </c>
      <c r="AK122" s="5" t="b">
        <v>0</v>
      </c>
      <c r="AL122" s="5" t="b">
        <v>0</v>
      </c>
      <c r="AM122" s="6" t="s">
        <v>66</v>
      </c>
      <c r="AN122" s="5">
        <v>0</v>
      </c>
      <c r="AO122" s="5">
        <v>6</v>
      </c>
      <c r="AP122" s="5" t="b">
        <v>1</v>
      </c>
      <c r="AQ122" s="49" t="s">
        <v>669</v>
      </c>
      <c r="AR122" s="5">
        <v>1</v>
      </c>
      <c r="AS122" s="7">
        <v>36</v>
      </c>
      <c r="AT122" s="5" t="b">
        <v>0</v>
      </c>
      <c r="AU122" s="6" t="s">
        <v>66</v>
      </c>
      <c r="AV122" s="5">
        <v>0</v>
      </c>
      <c r="AW122" s="5">
        <v>6</v>
      </c>
      <c r="AX122" s="5" t="b">
        <v>0</v>
      </c>
      <c r="AY122" s="6" t="s">
        <v>66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9" t="s">
        <v>66</v>
      </c>
      <c r="BJ122" s="37"/>
      <c r="BK122" s="5" t="s">
        <v>0</v>
      </c>
      <c r="BL122" s="5">
        <v>0</v>
      </c>
      <c r="BM122" s="5" t="b">
        <v>0</v>
      </c>
      <c r="CS122" s="31" t="str">
        <f t="shared" si="19"/>
        <v>.ImprintImp</v>
      </c>
    </row>
    <row r="123" spans="1:97">
      <c r="A123" s="38" t="str">
        <f t="shared" si="23"/>
        <v>Image-Placement (Img)</v>
      </c>
      <c r="C123" s="7" t="s">
        <v>574</v>
      </c>
      <c r="D123" s="7" t="s">
        <v>573</v>
      </c>
      <c r="E123" s="7" t="s">
        <v>430</v>
      </c>
      <c r="F123" s="5">
        <v>1</v>
      </c>
      <c r="G123" s="7" t="b">
        <v>1</v>
      </c>
      <c r="H123" s="5">
        <v>1</v>
      </c>
      <c r="I123" s="5" t="s">
        <v>1</v>
      </c>
      <c r="J123" s="5">
        <v>11</v>
      </c>
      <c r="K123" s="7" t="b">
        <v>0</v>
      </c>
      <c r="L123" s="5" t="b">
        <v>0</v>
      </c>
      <c r="M123" s="8" t="s">
        <v>71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0</v>
      </c>
      <c r="Y123" s="5" t="b">
        <v>0</v>
      </c>
      <c r="Z123" s="5" t="b">
        <v>0</v>
      </c>
      <c r="AA123" s="7">
        <v>0</v>
      </c>
      <c r="AB123" s="7">
        <v>0</v>
      </c>
      <c r="AC123" s="7">
        <v>6</v>
      </c>
      <c r="AD123" s="7">
        <v>6</v>
      </c>
      <c r="AE123" s="7">
        <v>2</v>
      </c>
      <c r="AF123" s="7">
        <v>24</v>
      </c>
      <c r="AG123" s="7">
        <v>1</v>
      </c>
      <c r="AH123" s="7">
        <v>0</v>
      </c>
      <c r="AI123" s="7">
        <v>10</v>
      </c>
      <c r="AJ123" s="7" t="b">
        <v>0</v>
      </c>
      <c r="AK123" s="5" t="b">
        <v>0</v>
      </c>
      <c r="AL123" s="5" t="b">
        <v>1</v>
      </c>
      <c r="AM123" s="41" t="s">
        <v>71</v>
      </c>
      <c r="AN123" s="5">
        <v>1</v>
      </c>
      <c r="AO123" s="5">
        <v>24</v>
      </c>
      <c r="AP123" s="5" t="b">
        <v>1</v>
      </c>
      <c r="AQ123" s="41" t="s">
        <v>71</v>
      </c>
      <c r="AR123" s="5">
        <v>1</v>
      </c>
      <c r="AS123" s="7">
        <v>36</v>
      </c>
      <c r="AT123" s="5" t="b">
        <v>1</v>
      </c>
      <c r="AU123" s="41" t="s">
        <v>71</v>
      </c>
      <c r="AV123" s="5">
        <v>1</v>
      </c>
      <c r="AW123" s="5">
        <v>24</v>
      </c>
      <c r="AX123" s="5" t="b">
        <v>1</v>
      </c>
      <c r="AY123" s="41" t="s">
        <v>71</v>
      </c>
      <c r="AZ123" s="5">
        <v>1</v>
      </c>
      <c r="BA123" s="5">
        <v>24</v>
      </c>
      <c r="BB123" s="5">
        <v>4</v>
      </c>
      <c r="BC123" s="5">
        <v>4</v>
      </c>
      <c r="BD123" s="5">
        <v>1</v>
      </c>
      <c r="BE123" s="5">
        <v>1</v>
      </c>
      <c r="BF123" s="9" t="s">
        <v>66</v>
      </c>
      <c r="BJ123" s="37"/>
      <c r="BK123" s="5" t="s">
        <v>0</v>
      </c>
      <c r="BL123" s="5">
        <v>0</v>
      </c>
      <c r="BM123" s="5" t="b">
        <v>0</v>
      </c>
      <c r="BZ123" s="7" t="b">
        <v>1</v>
      </c>
      <c r="CA123" s="7" t="b">
        <v>1</v>
      </c>
      <c r="CN123" s="7" t="b">
        <v>1</v>
      </c>
      <c r="CS123" s="31" t="str">
        <f t="shared" si="19"/>
        <v>.Image-PlacementImg</v>
      </c>
    </row>
    <row r="124" spans="1:97">
      <c r="A124" s="38" t="str">
        <f t="shared" si="23"/>
        <v>Credit-Line (Crd)</v>
      </c>
      <c r="C124" s="7" t="s">
        <v>387</v>
      </c>
      <c r="D124" s="7" t="s">
        <v>388</v>
      </c>
      <c r="E124" s="38" t="str">
        <f t="shared" ref="E124:E135" si="31">IF($D124="","",TRIM($C124)&amp;" "&amp;CHAR(40)&amp;TRIM($D124)&amp;CHAR(41))</f>
        <v>Credit-Line (Crd)</v>
      </c>
      <c r="F124" s="5">
        <v>1</v>
      </c>
      <c r="G124" s="7" t="b">
        <v>0</v>
      </c>
      <c r="H124" s="5">
        <v>1</v>
      </c>
      <c r="I124" s="5" t="s">
        <v>1</v>
      </c>
      <c r="J124" s="5">
        <v>9</v>
      </c>
      <c r="K124" s="7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7">
        <v>0</v>
      </c>
      <c r="AB124" s="7">
        <v>0</v>
      </c>
      <c r="AC124" s="7">
        <v>6</v>
      </c>
      <c r="AD124" s="7">
        <v>6</v>
      </c>
      <c r="AE124" s="7">
        <v>2</v>
      </c>
      <c r="AF124" s="7">
        <v>24</v>
      </c>
      <c r="AG124" s="7">
        <v>0</v>
      </c>
      <c r="AH124" s="7">
        <v>36</v>
      </c>
      <c r="AI124" s="7">
        <v>10</v>
      </c>
      <c r="AJ124" s="7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50" t="s">
        <v>674</v>
      </c>
      <c r="AR124" s="5">
        <v>1</v>
      </c>
      <c r="AS124" s="7">
        <v>36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9" t="s">
        <v>66</v>
      </c>
      <c r="BJ124" s="37"/>
      <c r="BK124" s="5" t="s">
        <v>0</v>
      </c>
      <c r="BL124" s="5">
        <v>0</v>
      </c>
      <c r="BM124" s="5" t="b">
        <v>0</v>
      </c>
      <c r="BZ124" s="7" t="b">
        <v>1</v>
      </c>
      <c r="CC124" s="7" t="b">
        <v>1</v>
      </c>
      <c r="CN124" s="7" t="b">
        <v>1</v>
      </c>
      <c r="CS124" s="31" t="str">
        <f t="shared" si="19"/>
        <v>.Credit-LineCrd</v>
      </c>
    </row>
    <row r="125" spans="1:97">
      <c r="A125" s="38" t="str">
        <f t="shared" si="23"/>
        <v>Caption (Cap)</v>
      </c>
      <c r="C125" s="7" t="s">
        <v>204</v>
      </c>
      <c r="D125" s="7" t="s">
        <v>389</v>
      </c>
      <c r="E125" s="38" t="str">
        <f t="shared" si="31"/>
        <v>Caption (Cap)</v>
      </c>
      <c r="F125" s="5">
        <v>1</v>
      </c>
      <c r="G125" s="7" t="b">
        <v>0</v>
      </c>
      <c r="H125" s="5">
        <v>1</v>
      </c>
      <c r="I125" s="5" t="s">
        <v>1</v>
      </c>
      <c r="J125" s="5">
        <v>9</v>
      </c>
      <c r="K125" s="7" t="b">
        <v>0</v>
      </c>
      <c r="L125" s="5" t="b">
        <v>0</v>
      </c>
      <c r="M125" s="6" t="s">
        <v>66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1</v>
      </c>
      <c r="Y125" s="5" t="b">
        <v>0</v>
      </c>
      <c r="Z125" s="5" t="b">
        <v>0</v>
      </c>
      <c r="AA125" s="7">
        <v>0</v>
      </c>
      <c r="AB125" s="7">
        <v>0</v>
      </c>
      <c r="AC125" s="7">
        <v>6</v>
      </c>
      <c r="AD125" s="7">
        <v>6</v>
      </c>
      <c r="AE125" s="7">
        <v>2</v>
      </c>
      <c r="AF125" s="7">
        <v>24</v>
      </c>
      <c r="AG125" s="7">
        <v>0</v>
      </c>
      <c r="AH125" s="7">
        <v>36</v>
      </c>
      <c r="AI125" s="7">
        <v>10</v>
      </c>
      <c r="AJ125" s="7" t="b">
        <v>0</v>
      </c>
      <c r="AK125" s="5" t="b">
        <v>0</v>
      </c>
      <c r="AL125" s="5" t="b">
        <v>0</v>
      </c>
      <c r="AM125" s="6" t="s">
        <v>66</v>
      </c>
      <c r="AN125" s="5">
        <v>0</v>
      </c>
      <c r="AO125" s="5">
        <v>6</v>
      </c>
      <c r="AP125" s="5" t="b">
        <v>1</v>
      </c>
      <c r="AQ125" s="50" t="s">
        <v>674</v>
      </c>
      <c r="AR125" s="5">
        <v>1</v>
      </c>
      <c r="AS125" s="7">
        <v>36</v>
      </c>
      <c r="AT125" s="5" t="b">
        <v>0</v>
      </c>
      <c r="AU125" s="6" t="s">
        <v>66</v>
      </c>
      <c r="AV125" s="5">
        <v>0</v>
      </c>
      <c r="AW125" s="5">
        <v>6</v>
      </c>
      <c r="AX125" s="5" t="b">
        <v>0</v>
      </c>
      <c r="AY125" s="6" t="s">
        <v>66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9" t="s">
        <v>66</v>
      </c>
      <c r="BJ125" s="37"/>
      <c r="BK125" s="5" t="s">
        <v>0</v>
      </c>
      <c r="BL125" s="5">
        <v>0</v>
      </c>
      <c r="BM125" s="5" t="b">
        <v>0</v>
      </c>
      <c r="BZ125" s="7" t="b">
        <v>1</v>
      </c>
      <c r="CB125" s="7" t="b">
        <v>1</v>
      </c>
      <c r="CN125" s="7" t="b">
        <v>1</v>
      </c>
      <c r="CS125" s="31" t="str">
        <f t="shared" si="19"/>
        <v>.CaptionCap</v>
      </c>
    </row>
    <row r="126" spans="1:97">
      <c r="A126" s="38" t="str">
        <f t="shared" si="23"/>
        <v>Speaker1 (Sp1)</v>
      </c>
      <c r="C126" s="7" t="s">
        <v>575</v>
      </c>
      <c r="D126" s="7" t="s">
        <v>576</v>
      </c>
      <c r="E126" s="38" t="str">
        <f t="shared" si="31"/>
        <v>Speaker1 (Sp1)</v>
      </c>
      <c r="F126" s="5">
        <v>1</v>
      </c>
      <c r="G126" s="7" t="b">
        <v>0</v>
      </c>
      <c r="H126" s="5">
        <v>1</v>
      </c>
      <c r="I126" s="5" t="s">
        <v>2</v>
      </c>
      <c r="J126" s="5">
        <v>11</v>
      </c>
      <c r="K126" s="7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7">
        <v>36</v>
      </c>
      <c r="AB126" s="7">
        <v>0</v>
      </c>
      <c r="AC126" s="7">
        <v>6</v>
      </c>
      <c r="AD126" s="7">
        <v>6</v>
      </c>
      <c r="AE126" s="7">
        <v>2</v>
      </c>
      <c r="AF126" s="7">
        <v>24</v>
      </c>
      <c r="AG126" s="7">
        <v>0</v>
      </c>
      <c r="AH126" s="7">
        <v>0</v>
      </c>
      <c r="AI126" s="7">
        <v>10</v>
      </c>
      <c r="AJ126" s="7" t="b">
        <v>0</v>
      </c>
      <c r="AK126" s="5" t="b">
        <v>0</v>
      </c>
      <c r="AL126" s="5" t="b">
        <v>0</v>
      </c>
      <c r="AM126" s="6" t="s">
        <v>66</v>
      </c>
      <c r="AN126" s="5">
        <v>0</v>
      </c>
      <c r="AO126" s="5">
        <v>6</v>
      </c>
      <c r="AP126" s="5" t="b">
        <v>1</v>
      </c>
      <c r="AQ126" s="39" t="s">
        <v>672</v>
      </c>
      <c r="AR126" s="5">
        <v>1</v>
      </c>
      <c r="AS126" s="7">
        <v>36</v>
      </c>
      <c r="AT126" s="5" t="b">
        <v>0</v>
      </c>
      <c r="AU126" s="6" t="s">
        <v>66</v>
      </c>
      <c r="AV126" s="5">
        <v>0</v>
      </c>
      <c r="AW126" s="5">
        <v>6</v>
      </c>
      <c r="AX126" s="5" t="b">
        <v>0</v>
      </c>
      <c r="AY126" s="6" t="s">
        <v>66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9" t="s">
        <v>66</v>
      </c>
      <c r="BJ126" s="37"/>
      <c r="BK126" s="5" t="s">
        <v>0</v>
      </c>
      <c r="BL126" s="5">
        <v>0</v>
      </c>
      <c r="BM126" s="5" t="b">
        <v>0</v>
      </c>
      <c r="CS126" s="31" t="str">
        <f t="shared" si="19"/>
        <v>.Speaker1Sp1</v>
      </c>
    </row>
    <row r="127" spans="1:97">
      <c r="A127" s="38" t="str">
        <f t="shared" si="23"/>
        <v>Speaker2 (Sp2)</v>
      </c>
      <c r="C127" s="7" t="s">
        <v>577</v>
      </c>
      <c r="D127" s="7" t="s">
        <v>578</v>
      </c>
      <c r="E127" s="38" t="str">
        <f t="shared" si="31"/>
        <v>Speaker2 (Sp2)</v>
      </c>
      <c r="F127" s="5">
        <v>1</v>
      </c>
      <c r="G127" s="7" t="b">
        <v>0</v>
      </c>
      <c r="H127" s="5">
        <v>1</v>
      </c>
      <c r="I127" s="5" t="s">
        <v>2</v>
      </c>
      <c r="J127" s="5">
        <v>11</v>
      </c>
      <c r="K127" s="7" t="b">
        <v>0</v>
      </c>
      <c r="L127" s="5" t="b">
        <v>0</v>
      </c>
      <c r="M127" s="6" t="s">
        <v>66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7">
        <v>36</v>
      </c>
      <c r="AB127" s="7">
        <v>0</v>
      </c>
      <c r="AC127" s="7">
        <v>6</v>
      </c>
      <c r="AD127" s="7">
        <v>6</v>
      </c>
      <c r="AE127" s="7">
        <v>2</v>
      </c>
      <c r="AF127" s="7">
        <v>24</v>
      </c>
      <c r="AG127" s="7">
        <v>0</v>
      </c>
      <c r="AH127" s="7">
        <v>0</v>
      </c>
      <c r="AI127" s="7">
        <v>10</v>
      </c>
      <c r="AJ127" s="7" t="b">
        <v>0</v>
      </c>
      <c r="AK127" s="5" t="b">
        <v>0</v>
      </c>
      <c r="AL127" s="5" t="b">
        <v>0</v>
      </c>
      <c r="AM127" s="6" t="s">
        <v>66</v>
      </c>
      <c r="AN127" s="5">
        <v>0</v>
      </c>
      <c r="AO127" s="5">
        <v>6</v>
      </c>
      <c r="AP127" s="5" t="b">
        <v>1</v>
      </c>
      <c r="AQ127" s="39" t="s">
        <v>672</v>
      </c>
      <c r="AR127" s="5">
        <v>7</v>
      </c>
      <c r="AS127" s="7">
        <v>18</v>
      </c>
      <c r="AT127" s="5" t="b">
        <v>0</v>
      </c>
      <c r="AU127" s="6" t="s">
        <v>66</v>
      </c>
      <c r="AV127" s="5">
        <v>0</v>
      </c>
      <c r="AW127" s="5">
        <v>6</v>
      </c>
      <c r="AX127" s="5" t="b">
        <v>0</v>
      </c>
      <c r="AY127" s="6" t="s">
        <v>66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9" t="s">
        <v>66</v>
      </c>
      <c r="BJ127" s="37"/>
      <c r="BK127" s="5" t="s">
        <v>0</v>
      </c>
      <c r="BL127" s="5">
        <v>0</v>
      </c>
      <c r="BM127" s="5" t="b">
        <v>0</v>
      </c>
      <c r="CS127" s="31" t="str">
        <f t="shared" ref="CS127" si="32">"."&amp;SUBSTITUTE(SUBSTITUTE(SUBSTITUTE(SUBSTITUTE(A127, "(",""),")","")," ",""),"#","")</f>
        <v>.Speaker2Sp2</v>
      </c>
    </row>
    <row r="128" spans="1:97">
      <c r="A128" s="38" t="str">
        <f t="shared" si="23"/>
        <v>Dialogue1 (Dia1)</v>
      </c>
      <c r="C128" s="7" t="s">
        <v>507</v>
      </c>
      <c r="D128" s="7" t="s">
        <v>509</v>
      </c>
      <c r="E128" s="38" t="str">
        <f t="shared" si="31"/>
        <v>Dialogue1 (Dia1)</v>
      </c>
      <c r="F128" s="5">
        <v>1</v>
      </c>
      <c r="G128" s="7" t="b">
        <v>0</v>
      </c>
      <c r="H128" s="5">
        <v>1</v>
      </c>
      <c r="I128" s="5" t="s">
        <v>67</v>
      </c>
      <c r="J128" s="5">
        <v>12</v>
      </c>
      <c r="K128" s="7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7">
        <v>36</v>
      </c>
      <c r="AB128" s="7">
        <v>0</v>
      </c>
      <c r="AC128" s="7">
        <v>6</v>
      </c>
      <c r="AD128" s="7">
        <v>6</v>
      </c>
      <c r="AE128" s="7">
        <v>2</v>
      </c>
      <c r="AF128" s="7">
        <v>24</v>
      </c>
      <c r="AG128" s="7">
        <v>0</v>
      </c>
      <c r="AH128" s="7">
        <v>36</v>
      </c>
      <c r="AI128" s="7">
        <v>10</v>
      </c>
      <c r="AJ128" s="7" t="b">
        <v>0</v>
      </c>
      <c r="AK128" s="5" t="b">
        <v>0</v>
      </c>
      <c r="AL128" s="5" t="b">
        <v>0</v>
      </c>
      <c r="AM128" s="6" t="s">
        <v>66</v>
      </c>
      <c r="AN128" s="5">
        <v>0</v>
      </c>
      <c r="AO128" s="5">
        <v>6</v>
      </c>
      <c r="AP128" s="5" t="b">
        <v>1</v>
      </c>
      <c r="AQ128" s="39" t="s">
        <v>672</v>
      </c>
      <c r="AR128" s="5">
        <v>1</v>
      </c>
      <c r="AS128" s="7">
        <v>36</v>
      </c>
      <c r="AT128" s="5" t="b">
        <v>0</v>
      </c>
      <c r="AU128" s="6" t="s">
        <v>66</v>
      </c>
      <c r="AV128" s="5">
        <v>0</v>
      </c>
      <c r="AW128" s="5">
        <v>6</v>
      </c>
      <c r="AX128" s="5" t="b">
        <v>0</v>
      </c>
      <c r="AY128" s="6" t="s">
        <v>66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9" t="s">
        <v>66</v>
      </c>
      <c r="BJ128" s="37"/>
      <c r="BK128" s="5" t="s">
        <v>0</v>
      </c>
      <c r="BL128" s="5">
        <v>0</v>
      </c>
      <c r="BM128" s="5" t="b">
        <v>0</v>
      </c>
      <c r="CS128" s="31" t="str">
        <f t="shared" si="19"/>
        <v>.Dialogue1Dia1</v>
      </c>
    </row>
    <row r="129" spans="1:97">
      <c r="A129" s="38" t="str">
        <f t="shared" si="23"/>
        <v>Dialogue2 (Dia2)</v>
      </c>
      <c r="C129" s="7" t="s">
        <v>508</v>
      </c>
      <c r="D129" s="7" t="s">
        <v>510</v>
      </c>
      <c r="E129" s="38" t="str">
        <f t="shared" si="31"/>
        <v>Dialogue2 (Dia2)</v>
      </c>
      <c r="F129" s="5">
        <v>1</v>
      </c>
      <c r="G129" s="7" t="b">
        <v>0</v>
      </c>
      <c r="H129" s="5">
        <v>1</v>
      </c>
      <c r="I129" s="5" t="s">
        <v>67</v>
      </c>
      <c r="J129" s="5">
        <v>12</v>
      </c>
      <c r="K129" s="7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7">
        <v>36</v>
      </c>
      <c r="AB129" s="7">
        <v>0</v>
      </c>
      <c r="AC129" s="7">
        <v>6</v>
      </c>
      <c r="AD129" s="7">
        <v>6</v>
      </c>
      <c r="AE129" s="7">
        <v>2</v>
      </c>
      <c r="AF129" s="7">
        <v>24</v>
      </c>
      <c r="AG129" s="7">
        <v>0</v>
      </c>
      <c r="AH129" s="7">
        <v>36</v>
      </c>
      <c r="AI129" s="7">
        <v>10</v>
      </c>
      <c r="AJ129" s="7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39" t="s">
        <v>672</v>
      </c>
      <c r="AR129" s="5">
        <v>7</v>
      </c>
      <c r="AS129" s="7">
        <v>18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9" t="s">
        <v>66</v>
      </c>
      <c r="BJ129" s="37"/>
      <c r="BK129" s="5" t="s">
        <v>0</v>
      </c>
      <c r="BL129" s="5">
        <v>0</v>
      </c>
      <c r="BM129" s="5" t="b">
        <v>0</v>
      </c>
      <c r="CS129" s="31" t="str">
        <f t="shared" ref="CS129" si="33">"."&amp;SUBSTITUTE(SUBSTITUTE(SUBSTITUTE(SUBSTITUTE(A129, "(",""),")","")," ",""),"#","")</f>
        <v>.Dialogue2Dia2</v>
      </c>
    </row>
    <row r="130" spans="1:97">
      <c r="A130" s="38" t="str">
        <f t="shared" si="23"/>
        <v>Stage-Directions (Stdir)</v>
      </c>
      <c r="C130" s="7" t="s">
        <v>390</v>
      </c>
      <c r="D130" s="7" t="s">
        <v>627</v>
      </c>
      <c r="E130" s="38" t="str">
        <f t="shared" si="31"/>
        <v>Stage-Directions (Stdir)</v>
      </c>
      <c r="F130" s="5">
        <v>1</v>
      </c>
      <c r="G130" s="7" t="b">
        <v>0</v>
      </c>
      <c r="H130" s="5">
        <v>1</v>
      </c>
      <c r="I130" s="5" t="s">
        <v>1</v>
      </c>
      <c r="J130" s="5">
        <v>11</v>
      </c>
      <c r="K130" s="7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7">
        <v>36</v>
      </c>
      <c r="AB130" s="7">
        <v>0</v>
      </c>
      <c r="AC130" s="7">
        <v>6</v>
      </c>
      <c r="AD130" s="7">
        <v>6</v>
      </c>
      <c r="AE130" s="7">
        <v>2</v>
      </c>
      <c r="AF130" s="7">
        <v>24</v>
      </c>
      <c r="AG130" s="7">
        <v>0</v>
      </c>
      <c r="AH130" s="7">
        <v>36</v>
      </c>
      <c r="AI130" s="7">
        <v>10</v>
      </c>
      <c r="AJ130" s="7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39" t="s">
        <v>672</v>
      </c>
      <c r="AR130" s="5">
        <v>1</v>
      </c>
      <c r="AS130" s="7">
        <v>36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9" t="s">
        <v>66</v>
      </c>
      <c r="BJ130" s="37"/>
      <c r="BK130" s="5" t="s">
        <v>0</v>
      </c>
      <c r="BL130" s="5">
        <v>0</v>
      </c>
      <c r="BM130" s="5" t="b">
        <v>0</v>
      </c>
      <c r="CS130" s="31" t="str">
        <f t="shared" si="19"/>
        <v>.Stage-DirectionsStdir</v>
      </c>
    </row>
    <row r="131" spans="1:97">
      <c r="A131" s="38" t="str">
        <f t="shared" si="23"/>
        <v>TOC-Frontmatter (Tocfm)</v>
      </c>
      <c r="C131" s="7" t="s">
        <v>391</v>
      </c>
      <c r="D131" s="7" t="s">
        <v>628</v>
      </c>
      <c r="E131" s="38" t="str">
        <f t="shared" si="31"/>
        <v>TOC-Frontmatter (Tocfm)</v>
      </c>
      <c r="F131" s="5">
        <v>1</v>
      </c>
      <c r="G131" s="7" t="b">
        <v>0</v>
      </c>
      <c r="H131" s="5">
        <v>1</v>
      </c>
      <c r="I131" s="5" t="s">
        <v>67</v>
      </c>
      <c r="J131" s="5">
        <v>12</v>
      </c>
      <c r="K131" s="7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1</v>
      </c>
      <c r="Y131" s="5" t="b">
        <v>0</v>
      </c>
      <c r="Z131" s="5" t="b">
        <v>0</v>
      </c>
      <c r="AA131" s="7">
        <v>0</v>
      </c>
      <c r="AB131" s="7">
        <v>0</v>
      </c>
      <c r="AC131" s="7">
        <v>6</v>
      </c>
      <c r="AD131" s="7">
        <v>6</v>
      </c>
      <c r="AE131" s="7">
        <v>2</v>
      </c>
      <c r="AF131" s="7">
        <v>24</v>
      </c>
      <c r="AG131" s="7">
        <v>0</v>
      </c>
      <c r="AH131" s="7">
        <v>36</v>
      </c>
      <c r="AI131" s="7">
        <v>10</v>
      </c>
      <c r="AJ131" s="7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49" t="s">
        <v>669</v>
      </c>
      <c r="AR131" s="5">
        <v>1</v>
      </c>
      <c r="AS131" s="7">
        <v>36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9" t="s">
        <v>66</v>
      </c>
      <c r="BJ131" s="37"/>
      <c r="BK131" s="5" t="s">
        <v>0</v>
      </c>
      <c r="BL131" s="5">
        <v>0</v>
      </c>
      <c r="BM131" s="5" t="b">
        <v>0</v>
      </c>
      <c r="CS131" s="31" t="str">
        <f t="shared" si="19"/>
        <v>.TOC-FrontmatterTocfm</v>
      </c>
    </row>
    <row r="132" spans="1:97">
      <c r="A132" s="38" t="str">
        <f t="shared" si="23"/>
        <v>TOC-Part (Tocpt)</v>
      </c>
      <c r="C132" s="7" t="s">
        <v>392</v>
      </c>
      <c r="D132" s="7" t="s">
        <v>629</v>
      </c>
      <c r="E132" s="38" t="str">
        <f t="shared" si="31"/>
        <v>TOC-Part (Tocpt)</v>
      </c>
      <c r="F132" s="5">
        <v>1</v>
      </c>
      <c r="G132" s="7" t="b">
        <v>0</v>
      </c>
      <c r="H132" s="5">
        <v>1</v>
      </c>
      <c r="I132" s="5" t="s">
        <v>67</v>
      </c>
      <c r="J132" s="5">
        <v>12</v>
      </c>
      <c r="K132" s="7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0</v>
      </c>
      <c r="Y132" s="5" t="b">
        <v>0</v>
      </c>
      <c r="Z132" s="5" t="b">
        <v>0</v>
      </c>
      <c r="AA132" s="7">
        <v>0</v>
      </c>
      <c r="AB132" s="7">
        <v>0</v>
      </c>
      <c r="AC132" s="7">
        <v>6</v>
      </c>
      <c r="AD132" s="7">
        <v>6</v>
      </c>
      <c r="AE132" s="7">
        <v>2</v>
      </c>
      <c r="AF132" s="7">
        <v>24</v>
      </c>
      <c r="AG132" s="7">
        <v>0</v>
      </c>
      <c r="AH132" s="7">
        <v>36</v>
      </c>
      <c r="AI132" s="7">
        <v>10</v>
      </c>
      <c r="AJ132" s="7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49" t="s">
        <v>669</v>
      </c>
      <c r="AR132" s="5">
        <v>1</v>
      </c>
      <c r="AS132" s="7">
        <v>36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9" t="s">
        <v>66</v>
      </c>
      <c r="BJ132" s="37"/>
      <c r="BK132" s="5" t="s">
        <v>0</v>
      </c>
      <c r="BL132" s="5">
        <v>0</v>
      </c>
      <c r="BM132" s="5" t="b">
        <v>0</v>
      </c>
      <c r="CS132" s="31" t="str">
        <f t="shared" si="19"/>
        <v>.TOC-PartTocpt</v>
      </c>
    </row>
    <row r="133" spans="1:97">
      <c r="A133" s="38" t="str">
        <f t="shared" si="23"/>
        <v>TOC-Chapter (Tocch)</v>
      </c>
      <c r="C133" s="7" t="s">
        <v>393</v>
      </c>
      <c r="D133" s="7" t="s">
        <v>630</v>
      </c>
      <c r="E133" s="38" t="str">
        <f t="shared" si="31"/>
        <v>TOC-Chapter (Tocch)</v>
      </c>
      <c r="F133" s="5">
        <v>1</v>
      </c>
      <c r="G133" s="7" t="b">
        <v>0</v>
      </c>
      <c r="H133" s="5">
        <v>1</v>
      </c>
      <c r="I133" s="5" t="s">
        <v>67</v>
      </c>
      <c r="J133" s="5">
        <v>12</v>
      </c>
      <c r="K133" s="7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7">
        <v>0</v>
      </c>
      <c r="AB133" s="7">
        <v>0</v>
      </c>
      <c r="AC133" s="7">
        <v>6</v>
      </c>
      <c r="AD133" s="7">
        <v>6</v>
      </c>
      <c r="AE133" s="7">
        <v>2</v>
      </c>
      <c r="AF133" s="7">
        <v>24</v>
      </c>
      <c r="AG133" s="7">
        <v>0</v>
      </c>
      <c r="AH133" s="7">
        <v>36</v>
      </c>
      <c r="AI133" s="7">
        <v>10</v>
      </c>
      <c r="AJ133" s="7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49" t="s">
        <v>669</v>
      </c>
      <c r="AR133" s="5">
        <v>1</v>
      </c>
      <c r="AS133" s="7">
        <v>36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9" t="s">
        <v>66</v>
      </c>
      <c r="BJ133" s="37"/>
      <c r="BK133" s="5" t="s">
        <v>0</v>
      </c>
      <c r="BL133" s="5">
        <v>0</v>
      </c>
      <c r="BM133" s="5" t="b">
        <v>0</v>
      </c>
      <c r="CS133" s="31" t="str">
        <f t="shared" si="19"/>
        <v>.TOC-ChapterTocch</v>
      </c>
    </row>
    <row r="134" spans="1:97">
      <c r="A134" s="38" t="str">
        <f t="shared" si="23"/>
        <v>TOC-Subhead (Tocsub)</v>
      </c>
      <c r="C134" s="7" t="s">
        <v>394</v>
      </c>
      <c r="D134" s="7" t="s">
        <v>636</v>
      </c>
      <c r="E134" s="38" t="str">
        <f t="shared" si="31"/>
        <v>TOC-Subhead (Tocsub)</v>
      </c>
      <c r="F134" s="5">
        <v>1</v>
      </c>
      <c r="G134" s="7" t="b">
        <v>0</v>
      </c>
      <c r="H134" s="5">
        <v>1</v>
      </c>
      <c r="I134" s="5" t="s">
        <v>67</v>
      </c>
      <c r="J134" s="5">
        <v>12</v>
      </c>
      <c r="K134" s="7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7">
        <v>0</v>
      </c>
      <c r="AB134" s="7">
        <v>0</v>
      </c>
      <c r="AC134" s="7">
        <v>6</v>
      </c>
      <c r="AD134" s="7">
        <v>6</v>
      </c>
      <c r="AE134" s="7">
        <v>2</v>
      </c>
      <c r="AF134" s="7">
        <v>24</v>
      </c>
      <c r="AG134" s="7">
        <v>0</v>
      </c>
      <c r="AH134" s="7">
        <v>36</v>
      </c>
      <c r="AI134" s="7">
        <v>10</v>
      </c>
      <c r="AJ134" s="7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49" t="s">
        <v>669</v>
      </c>
      <c r="AR134" s="5">
        <v>1</v>
      </c>
      <c r="AS134" s="7">
        <v>36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9" t="s">
        <v>66</v>
      </c>
      <c r="BJ134" s="37"/>
      <c r="BK134" s="5" t="s">
        <v>0</v>
      </c>
      <c r="BL134" s="5">
        <v>0</v>
      </c>
      <c r="BM134" s="5" t="b">
        <v>0</v>
      </c>
      <c r="CS134" s="31" t="str">
        <f t="shared" si="19"/>
        <v>.TOC-SubheadTocsub</v>
      </c>
    </row>
    <row r="135" spans="1:97">
      <c r="A135" s="38" t="str">
        <f t="shared" si="23"/>
        <v>TOC-Backmatter (Tocbm)</v>
      </c>
      <c r="C135" s="7" t="s">
        <v>395</v>
      </c>
      <c r="D135" s="7" t="s">
        <v>631</v>
      </c>
      <c r="E135" s="38" t="str">
        <f t="shared" si="31"/>
        <v>TOC-Backmatter (Tocbm)</v>
      </c>
      <c r="F135" s="5">
        <v>1</v>
      </c>
      <c r="G135" s="7" t="b">
        <v>0</v>
      </c>
      <c r="H135" s="5">
        <v>1</v>
      </c>
      <c r="I135" s="5" t="s">
        <v>67</v>
      </c>
      <c r="J135" s="5">
        <v>12</v>
      </c>
      <c r="K135" s="7" t="b">
        <v>0</v>
      </c>
      <c r="L135" s="5" t="b">
        <v>0</v>
      </c>
      <c r="M135" s="6" t="s">
        <v>66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7">
        <v>0</v>
      </c>
      <c r="AB135" s="7">
        <v>0</v>
      </c>
      <c r="AC135" s="7">
        <v>6</v>
      </c>
      <c r="AD135" s="7">
        <v>6</v>
      </c>
      <c r="AE135" s="7">
        <v>2</v>
      </c>
      <c r="AF135" s="7">
        <v>24</v>
      </c>
      <c r="AG135" s="7">
        <v>0</v>
      </c>
      <c r="AH135" s="7">
        <v>36</v>
      </c>
      <c r="AI135" s="7">
        <v>10</v>
      </c>
      <c r="AJ135" s="7" t="b">
        <v>0</v>
      </c>
      <c r="AK135" s="5" t="b">
        <v>0</v>
      </c>
      <c r="AL135" s="5" t="b">
        <v>0</v>
      </c>
      <c r="AM135" s="6" t="s">
        <v>66</v>
      </c>
      <c r="AN135" s="5">
        <v>0</v>
      </c>
      <c r="AO135" s="5">
        <v>6</v>
      </c>
      <c r="AP135" s="5" t="b">
        <v>1</v>
      </c>
      <c r="AQ135" s="49" t="s">
        <v>669</v>
      </c>
      <c r="AR135" s="5">
        <v>1</v>
      </c>
      <c r="AS135" s="7">
        <v>36</v>
      </c>
      <c r="AT135" s="5" t="b">
        <v>0</v>
      </c>
      <c r="AU135" s="6" t="s">
        <v>66</v>
      </c>
      <c r="AV135" s="5">
        <v>0</v>
      </c>
      <c r="AW135" s="5">
        <v>6</v>
      </c>
      <c r="AX135" s="5" t="b">
        <v>0</v>
      </c>
      <c r="AY135" s="6" t="s">
        <v>66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9" t="s">
        <v>66</v>
      </c>
      <c r="BJ135" s="37"/>
      <c r="BK135" s="5" t="s">
        <v>0</v>
      </c>
      <c r="BL135" s="5">
        <v>0</v>
      </c>
      <c r="BM135" s="5" t="b">
        <v>0</v>
      </c>
      <c r="CS135" s="31" t="str">
        <f t="shared" si="19"/>
        <v>.TOC-BackmatterTocbm</v>
      </c>
    </row>
    <row r="136" spans="1:97">
      <c r="A136" s="38" t="str">
        <f t="shared" si="23"/>
        <v>Blank-Space-Break (Bsbrk)</v>
      </c>
      <c r="C136" s="7" t="s">
        <v>511</v>
      </c>
      <c r="D136" s="7" t="s">
        <v>512</v>
      </c>
      <c r="E136" s="7" t="s">
        <v>430</v>
      </c>
      <c r="F136" s="5">
        <v>2</v>
      </c>
      <c r="G136" s="7" t="b">
        <v>1</v>
      </c>
      <c r="H136" s="5">
        <v>1</v>
      </c>
      <c r="I136" s="5" t="s">
        <v>67</v>
      </c>
      <c r="J136" s="5">
        <v>12</v>
      </c>
      <c r="K136" s="7" t="b">
        <v>0</v>
      </c>
      <c r="L136" s="5" t="b">
        <v>0</v>
      </c>
      <c r="M136" s="8" t="s">
        <v>71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7">
        <v>0</v>
      </c>
      <c r="AB136" s="7">
        <v>0</v>
      </c>
      <c r="AC136" s="7">
        <v>6</v>
      </c>
      <c r="AD136" s="7">
        <v>6</v>
      </c>
      <c r="AE136" s="7">
        <v>2</v>
      </c>
      <c r="AF136" s="7">
        <v>24</v>
      </c>
      <c r="AG136" s="7">
        <v>1</v>
      </c>
      <c r="AH136" s="7">
        <v>0</v>
      </c>
      <c r="AI136" s="7">
        <v>10</v>
      </c>
      <c r="AJ136" s="7" t="b">
        <v>0</v>
      </c>
      <c r="AK136" s="5" t="b">
        <v>0</v>
      </c>
      <c r="AL136" s="5" t="b">
        <v>1</v>
      </c>
      <c r="AM136" s="41" t="s">
        <v>71</v>
      </c>
      <c r="AN136" s="5">
        <v>1</v>
      </c>
      <c r="AO136" s="5">
        <v>24</v>
      </c>
      <c r="AP136" s="5" t="b">
        <v>1</v>
      </c>
      <c r="AQ136" s="41" t="s">
        <v>71</v>
      </c>
      <c r="AR136" s="5">
        <v>3</v>
      </c>
      <c r="AS136" s="7">
        <v>18</v>
      </c>
      <c r="AT136" s="5" t="b">
        <v>1</v>
      </c>
      <c r="AU136" s="41" t="s">
        <v>71</v>
      </c>
      <c r="AV136" s="5">
        <v>1</v>
      </c>
      <c r="AW136" s="5">
        <v>24</v>
      </c>
      <c r="AX136" s="5" t="b">
        <v>1</v>
      </c>
      <c r="AY136" s="41" t="s">
        <v>71</v>
      </c>
      <c r="AZ136" s="5">
        <v>3</v>
      </c>
      <c r="BA136" s="7">
        <v>18</v>
      </c>
      <c r="BB136" s="5">
        <v>4</v>
      </c>
      <c r="BC136" s="5">
        <v>4</v>
      </c>
      <c r="BD136" s="5">
        <v>1</v>
      </c>
      <c r="BE136" s="5">
        <v>1</v>
      </c>
      <c r="BF136" s="40" t="s">
        <v>673</v>
      </c>
      <c r="BJ136" s="37"/>
      <c r="BK136" s="5" t="s">
        <v>0</v>
      </c>
      <c r="BL136" s="5">
        <v>0</v>
      </c>
      <c r="BM136" s="5" t="b">
        <v>0</v>
      </c>
      <c r="CS136" s="31" t="str">
        <f t="shared" si="19"/>
        <v>.Blank-Space-BreakBsbrk</v>
      </c>
    </row>
    <row r="137" spans="1:97">
      <c r="A137" s="38" t="str">
        <f t="shared" si="23"/>
        <v>Ornamental-Space-Break (Osbrk)</v>
      </c>
      <c r="C137" s="7" t="s">
        <v>513</v>
      </c>
      <c r="D137" s="7" t="s">
        <v>514</v>
      </c>
      <c r="E137" s="7" t="s">
        <v>430</v>
      </c>
      <c r="F137" s="5">
        <v>2</v>
      </c>
      <c r="G137" s="7" t="b">
        <v>1</v>
      </c>
      <c r="H137" s="5">
        <v>1</v>
      </c>
      <c r="I137" s="5" t="s">
        <v>67</v>
      </c>
      <c r="J137" s="5">
        <v>12</v>
      </c>
      <c r="K137" s="7" t="b">
        <v>0</v>
      </c>
      <c r="L137" s="5" t="b">
        <v>0</v>
      </c>
      <c r="M137" s="8" t="s">
        <v>71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0</v>
      </c>
      <c r="Y137" s="5" t="b">
        <v>0</v>
      </c>
      <c r="Z137" s="5" t="b">
        <v>0</v>
      </c>
      <c r="AA137" s="7">
        <v>0</v>
      </c>
      <c r="AB137" s="7">
        <v>0</v>
      </c>
      <c r="AC137" s="7">
        <v>6</v>
      </c>
      <c r="AD137" s="7">
        <v>6</v>
      </c>
      <c r="AE137" s="7">
        <v>2</v>
      </c>
      <c r="AF137" s="7">
        <v>24</v>
      </c>
      <c r="AG137" s="7">
        <v>1</v>
      </c>
      <c r="AH137" s="7">
        <v>0</v>
      </c>
      <c r="AI137" s="7">
        <v>10</v>
      </c>
      <c r="AJ137" s="7" t="b">
        <v>0</v>
      </c>
      <c r="AK137" s="5" t="b">
        <v>0</v>
      </c>
      <c r="AL137" s="5" t="b">
        <v>1</v>
      </c>
      <c r="AM137" s="41" t="s">
        <v>71</v>
      </c>
      <c r="AN137" s="5">
        <v>1</v>
      </c>
      <c r="AO137" s="5">
        <v>24</v>
      </c>
      <c r="AP137" s="5" t="b">
        <v>1</v>
      </c>
      <c r="AQ137" s="51" t="s">
        <v>71</v>
      </c>
      <c r="AR137" s="5">
        <v>3</v>
      </c>
      <c r="AS137" s="7">
        <v>18</v>
      </c>
      <c r="AT137" s="5" t="b">
        <v>1</v>
      </c>
      <c r="AU137" s="51" t="s">
        <v>71</v>
      </c>
      <c r="AV137" s="5">
        <v>1</v>
      </c>
      <c r="AW137" s="5">
        <v>24</v>
      </c>
      <c r="AX137" s="5" t="b">
        <v>1</v>
      </c>
      <c r="AY137" s="51" t="s">
        <v>71</v>
      </c>
      <c r="AZ137" s="5">
        <v>3</v>
      </c>
      <c r="BA137" s="7">
        <v>18</v>
      </c>
      <c r="BB137" s="5">
        <v>4</v>
      </c>
      <c r="BC137" s="5">
        <v>4</v>
      </c>
      <c r="BD137" s="5">
        <v>1</v>
      </c>
      <c r="BE137" s="5">
        <v>1</v>
      </c>
      <c r="BF137" s="40" t="s">
        <v>673</v>
      </c>
      <c r="BJ137" s="37"/>
      <c r="BK137" s="5" t="s">
        <v>0</v>
      </c>
      <c r="BL137" s="5">
        <v>0</v>
      </c>
      <c r="BM137" s="5" t="b">
        <v>0</v>
      </c>
      <c r="CS137" s="31" t="str">
        <f t="shared" si="19"/>
        <v>.Ornamental-Space-BreakOsbrk</v>
      </c>
    </row>
    <row r="138" spans="1:97">
      <c r="A138" s="38" t="str">
        <f t="shared" si="23"/>
        <v>Separator (Sep)</v>
      </c>
      <c r="C138" s="7" t="s">
        <v>515</v>
      </c>
      <c r="D138" s="7" t="s">
        <v>516</v>
      </c>
      <c r="E138" s="7" t="s">
        <v>430</v>
      </c>
      <c r="F138" s="5">
        <v>2</v>
      </c>
      <c r="G138" s="7" t="b">
        <v>1</v>
      </c>
      <c r="H138" s="5">
        <v>1</v>
      </c>
      <c r="I138" s="5" t="s">
        <v>67</v>
      </c>
      <c r="J138" s="5">
        <v>12</v>
      </c>
      <c r="K138" s="7" t="b">
        <v>0</v>
      </c>
      <c r="L138" s="5" t="b">
        <v>0</v>
      </c>
      <c r="M138" s="8" t="s">
        <v>71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7">
        <v>0</v>
      </c>
      <c r="AB138" s="7">
        <v>0</v>
      </c>
      <c r="AC138" s="7">
        <v>6</v>
      </c>
      <c r="AD138" s="7">
        <v>6</v>
      </c>
      <c r="AE138" s="7">
        <v>2</v>
      </c>
      <c r="AF138" s="7">
        <v>24</v>
      </c>
      <c r="AG138" s="7">
        <v>1</v>
      </c>
      <c r="AH138" s="7">
        <v>0</v>
      </c>
      <c r="AI138" s="7">
        <v>10</v>
      </c>
      <c r="AJ138" s="7" t="b">
        <v>0</v>
      </c>
      <c r="AK138" s="5" t="b">
        <v>0</v>
      </c>
      <c r="AL138" s="5" t="b">
        <v>1</v>
      </c>
      <c r="AM138" s="41" t="s">
        <v>71</v>
      </c>
      <c r="AN138" s="5">
        <v>1</v>
      </c>
      <c r="AO138" s="5">
        <v>24</v>
      </c>
      <c r="AP138" s="5" t="b">
        <v>1</v>
      </c>
      <c r="AQ138" s="51" t="s">
        <v>71</v>
      </c>
      <c r="AR138" s="5">
        <v>3</v>
      </c>
      <c r="AS138" s="7">
        <v>18</v>
      </c>
      <c r="AT138" s="5" t="b">
        <v>1</v>
      </c>
      <c r="AU138" s="51" t="s">
        <v>71</v>
      </c>
      <c r="AV138" s="5">
        <v>1</v>
      </c>
      <c r="AW138" s="5">
        <v>24</v>
      </c>
      <c r="AX138" s="5" t="b">
        <v>1</v>
      </c>
      <c r="AY138" s="51" t="s">
        <v>71</v>
      </c>
      <c r="AZ138" s="5">
        <v>3</v>
      </c>
      <c r="BA138" s="7">
        <v>18</v>
      </c>
      <c r="BB138" s="5">
        <v>4</v>
      </c>
      <c r="BC138" s="5">
        <v>4</v>
      </c>
      <c r="BD138" s="5">
        <v>1</v>
      </c>
      <c r="BE138" s="5">
        <v>1</v>
      </c>
      <c r="BF138" s="40" t="s">
        <v>673</v>
      </c>
      <c r="BJ138" s="37"/>
      <c r="BK138" s="5" t="s">
        <v>0</v>
      </c>
      <c r="BL138" s="5">
        <v>0</v>
      </c>
      <c r="BM138" s="5" t="b">
        <v>0</v>
      </c>
      <c r="CN138" s="7" t="b">
        <v>1</v>
      </c>
      <c r="CS138" s="31" t="str">
        <f t="shared" ref="CS138" si="34">"."&amp;SUBSTITUTE(SUBSTITUTE(SUBSTITUTE(SUBSTITUTE(A138, "(",""),")","")," ",""),"#","")</f>
        <v>.SeparatorSep</v>
      </c>
    </row>
    <row r="139" spans="1:97">
      <c r="A139" s="38" t="str">
        <f t="shared" si="23"/>
        <v>Design-Note (Dn)</v>
      </c>
      <c r="C139" s="7" t="s">
        <v>396</v>
      </c>
      <c r="D139" s="7" t="s">
        <v>397</v>
      </c>
      <c r="E139" s="38" t="str">
        <f t="shared" ref="E139:E141" si="35">IF($D139="","",TRIM($C139)&amp;" "&amp;CHAR(40)&amp;TRIM($D139)&amp;CHAR(41))</f>
        <v>Design-Note (Dn)</v>
      </c>
      <c r="F139" s="5">
        <v>2</v>
      </c>
      <c r="G139" s="7" t="b">
        <v>1</v>
      </c>
      <c r="H139" s="5">
        <v>1</v>
      </c>
      <c r="I139" s="5" t="s">
        <v>72</v>
      </c>
      <c r="J139" s="5">
        <v>11</v>
      </c>
      <c r="K139" s="7" t="b">
        <v>0</v>
      </c>
      <c r="L139" s="5" t="b">
        <v>0</v>
      </c>
      <c r="M139" s="8" t="s">
        <v>71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0</v>
      </c>
      <c r="Y139" s="5" t="b">
        <v>0</v>
      </c>
      <c r="Z139" s="5" t="b">
        <v>0</v>
      </c>
      <c r="AA139" s="7">
        <v>0</v>
      </c>
      <c r="AB139" s="7">
        <v>0</v>
      </c>
      <c r="AC139" s="7">
        <v>6</v>
      </c>
      <c r="AD139" s="7">
        <v>6</v>
      </c>
      <c r="AE139" s="7">
        <v>2</v>
      </c>
      <c r="AF139" s="7">
        <v>24</v>
      </c>
      <c r="AG139" s="7">
        <v>0</v>
      </c>
      <c r="AH139" s="7">
        <v>36</v>
      </c>
      <c r="AI139" s="7">
        <v>10</v>
      </c>
      <c r="AJ139" s="7" t="b">
        <v>0</v>
      </c>
      <c r="AK139" s="5" t="b">
        <v>0</v>
      </c>
      <c r="AL139" s="5" t="b">
        <v>1</v>
      </c>
      <c r="AM139" s="41" t="s">
        <v>71</v>
      </c>
      <c r="AN139" s="5">
        <v>1</v>
      </c>
      <c r="AO139" s="5">
        <v>24</v>
      </c>
      <c r="AP139" s="5" t="b">
        <v>1</v>
      </c>
      <c r="AQ139" s="51" t="s">
        <v>71</v>
      </c>
      <c r="AR139" s="5">
        <v>1</v>
      </c>
      <c r="AS139" s="7">
        <v>24</v>
      </c>
      <c r="AT139" s="5" t="b">
        <v>1</v>
      </c>
      <c r="AU139" s="51" t="s">
        <v>71</v>
      </c>
      <c r="AV139" s="5">
        <v>1</v>
      </c>
      <c r="AW139" s="5">
        <v>24</v>
      </c>
      <c r="AX139" s="5" t="b">
        <v>1</v>
      </c>
      <c r="AY139" s="51" t="s">
        <v>71</v>
      </c>
      <c r="AZ139" s="5">
        <v>1</v>
      </c>
      <c r="BA139" s="5">
        <v>24</v>
      </c>
      <c r="BB139" s="5">
        <v>4</v>
      </c>
      <c r="BC139" s="5">
        <v>4</v>
      </c>
      <c r="BD139" s="5">
        <v>1</v>
      </c>
      <c r="BE139" s="5">
        <v>1</v>
      </c>
      <c r="BF139" s="9" t="s">
        <v>66</v>
      </c>
      <c r="BJ139" s="37"/>
      <c r="BK139" s="5" t="s">
        <v>0</v>
      </c>
      <c r="BL139" s="5">
        <v>0</v>
      </c>
      <c r="BM139" s="5" t="b">
        <v>0</v>
      </c>
      <c r="CN139" s="7" t="b">
        <v>1</v>
      </c>
      <c r="CS139" s="31" t="str">
        <f t="shared" si="19"/>
        <v>.Design-NoteDn</v>
      </c>
    </row>
    <row r="140" spans="1:97">
      <c r="A140" s="38" t="str">
        <f t="shared" si="23"/>
        <v>Bookmaker-Processing-Instruction (Bpi)</v>
      </c>
      <c r="C140" s="7" t="s">
        <v>398</v>
      </c>
      <c r="D140" s="7" t="s">
        <v>399</v>
      </c>
      <c r="E140" s="38" t="str">
        <f t="shared" si="35"/>
        <v>Bookmaker-Processing-Instruction (Bpi)</v>
      </c>
      <c r="F140" s="5">
        <v>2</v>
      </c>
      <c r="G140" s="7" t="b">
        <v>0</v>
      </c>
      <c r="H140" s="5">
        <v>1</v>
      </c>
      <c r="I140" s="5" t="s">
        <v>72</v>
      </c>
      <c r="J140" s="5">
        <v>11</v>
      </c>
      <c r="K140" s="7" t="b">
        <v>0</v>
      </c>
      <c r="L140" s="5" t="b">
        <v>0</v>
      </c>
      <c r="M140" s="8" t="s">
        <v>71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7">
        <v>0</v>
      </c>
      <c r="AB140" s="7">
        <v>0</v>
      </c>
      <c r="AC140" s="7">
        <v>6</v>
      </c>
      <c r="AD140" s="7">
        <v>6</v>
      </c>
      <c r="AE140" s="7">
        <v>2</v>
      </c>
      <c r="AF140" s="7">
        <v>24</v>
      </c>
      <c r="AG140" s="7">
        <v>0</v>
      </c>
      <c r="AH140" s="7">
        <v>36</v>
      </c>
      <c r="AI140" s="7">
        <v>10</v>
      </c>
      <c r="AJ140" s="7" t="b">
        <v>0</v>
      </c>
      <c r="AK140" s="5" t="b">
        <v>0</v>
      </c>
      <c r="AL140" s="5" t="b">
        <v>1</v>
      </c>
      <c r="AM140" s="41" t="s">
        <v>71</v>
      </c>
      <c r="AN140" s="5">
        <v>1</v>
      </c>
      <c r="AO140" s="5">
        <v>24</v>
      </c>
      <c r="AP140" s="5" t="b">
        <v>1</v>
      </c>
      <c r="AQ140" s="51" t="s">
        <v>71</v>
      </c>
      <c r="AR140" s="5">
        <v>1</v>
      </c>
      <c r="AS140" s="7">
        <v>24</v>
      </c>
      <c r="AT140" s="5" t="b">
        <v>1</v>
      </c>
      <c r="AU140" s="51" t="s">
        <v>71</v>
      </c>
      <c r="AV140" s="5">
        <v>1</v>
      </c>
      <c r="AW140" s="5">
        <v>24</v>
      </c>
      <c r="AX140" s="5" t="b">
        <v>1</v>
      </c>
      <c r="AY140" s="51" t="s">
        <v>71</v>
      </c>
      <c r="AZ140" s="5">
        <v>1</v>
      </c>
      <c r="BA140" s="5">
        <v>24</v>
      </c>
      <c r="BB140" s="5">
        <v>4</v>
      </c>
      <c r="BC140" s="5">
        <v>4</v>
      </c>
      <c r="BD140" s="5">
        <v>1</v>
      </c>
      <c r="BE140" s="5">
        <v>1</v>
      </c>
      <c r="BF140" s="9" t="s">
        <v>66</v>
      </c>
      <c r="BJ140" s="37"/>
      <c r="BK140" s="5" t="s">
        <v>0</v>
      </c>
      <c r="BL140" s="5">
        <v>0</v>
      </c>
      <c r="BM140" s="5" t="b">
        <v>0</v>
      </c>
      <c r="CN140" s="7" t="b">
        <v>1</v>
      </c>
      <c r="CS140" s="31" t="str">
        <f t="shared" si="19"/>
        <v>.Bookmaker-Processing-InstructionBpi</v>
      </c>
    </row>
    <row r="141" spans="1:97">
      <c r="A141" s="38" t="str">
        <f t="shared" si="23"/>
        <v>Ebook-Only-Text (Eonly)</v>
      </c>
      <c r="C141" s="7" t="s">
        <v>517</v>
      </c>
      <c r="D141" s="7" t="s">
        <v>518</v>
      </c>
      <c r="E141" s="38" t="str">
        <f t="shared" si="35"/>
        <v>Ebook-Only-Text (Eonly)</v>
      </c>
      <c r="F141" s="5">
        <v>9</v>
      </c>
      <c r="G141" s="7" t="b">
        <v>0</v>
      </c>
      <c r="H141" s="5">
        <v>1</v>
      </c>
      <c r="I141" s="5" t="s">
        <v>1</v>
      </c>
      <c r="J141" s="5">
        <v>11</v>
      </c>
      <c r="K141" s="7" t="b">
        <v>0</v>
      </c>
      <c r="L141" s="5" t="b">
        <v>0</v>
      </c>
      <c r="M141" s="8" t="s">
        <v>71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7">
        <v>0</v>
      </c>
      <c r="AB141" s="7">
        <v>0</v>
      </c>
      <c r="AC141" s="7">
        <v>6</v>
      </c>
      <c r="AD141" s="7">
        <v>6</v>
      </c>
      <c r="AE141" s="7">
        <v>2</v>
      </c>
      <c r="AF141" s="7">
        <v>24</v>
      </c>
      <c r="AG141" s="7">
        <v>0</v>
      </c>
      <c r="AH141" s="7">
        <v>36</v>
      </c>
      <c r="AI141" s="7">
        <v>10</v>
      </c>
      <c r="AJ141" s="7" t="b">
        <v>0</v>
      </c>
      <c r="AK141" s="5" t="b">
        <v>0</v>
      </c>
      <c r="AL141" s="5" t="b">
        <v>0</v>
      </c>
      <c r="AM141" s="6" t="s">
        <v>66</v>
      </c>
      <c r="AN141" s="5">
        <v>0</v>
      </c>
      <c r="AO141" s="5">
        <v>6</v>
      </c>
      <c r="AP141" s="5" t="b">
        <v>1</v>
      </c>
      <c r="AQ141" s="52" t="s">
        <v>670</v>
      </c>
      <c r="AR141" s="5">
        <v>1</v>
      </c>
      <c r="AS141" s="7">
        <v>36</v>
      </c>
      <c r="AT141" s="5" t="b">
        <v>0</v>
      </c>
      <c r="AU141" s="6" t="s">
        <v>66</v>
      </c>
      <c r="AV141" s="5">
        <v>0</v>
      </c>
      <c r="AW141" s="5">
        <v>6</v>
      </c>
      <c r="AX141" s="5" t="b">
        <v>0</v>
      </c>
      <c r="AY141" s="6" t="s">
        <v>66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9" t="s">
        <v>66</v>
      </c>
      <c r="BJ141" s="37"/>
      <c r="BK141" s="5" t="s">
        <v>0</v>
      </c>
      <c r="BL141" s="5">
        <v>0</v>
      </c>
      <c r="BM141" s="5" t="b">
        <v>0</v>
      </c>
      <c r="CN141" s="7" t="b">
        <v>1</v>
      </c>
      <c r="CS141" s="31" t="str">
        <f t="shared" ref="CS141" si="36">"."&amp;SUBSTITUTE(SUBSTITUTE(SUBSTITUTE(SUBSTITUTE(A141, "(",""),")","")," ",""),"#","")</f>
        <v>.Ebook-Only-TextEonly</v>
      </c>
    </row>
    <row r="142" spans="1:97">
      <c r="A142" s="38" t="str">
        <f t="shared" si="23"/>
        <v>EXTRACT-A (EXT-A)</v>
      </c>
      <c r="C142" s="7" t="s">
        <v>400</v>
      </c>
      <c r="D142" s="7" t="s">
        <v>401</v>
      </c>
      <c r="E142" s="7" t="s">
        <v>430</v>
      </c>
      <c r="F142" s="5">
        <v>4</v>
      </c>
      <c r="G142" s="7" t="b">
        <v>0</v>
      </c>
      <c r="H142" s="7">
        <v>1</v>
      </c>
      <c r="I142" s="5" t="s">
        <v>1</v>
      </c>
      <c r="J142" s="7">
        <v>12</v>
      </c>
      <c r="K142" s="7" t="b">
        <v>0</v>
      </c>
      <c r="L142" s="5" t="b">
        <v>1</v>
      </c>
      <c r="M142" s="6" t="s">
        <v>66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0</v>
      </c>
      <c r="Y142" s="5" t="b">
        <v>0</v>
      </c>
      <c r="Z142" s="5" t="b">
        <v>0</v>
      </c>
      <c r="AA142" s="7">
        <v>0</v>
      </c>
      <c r="AB142" s="7">
        <v>0</v>
      </c>
      <c r="AC142" s="7">
        <v>18</v>
      </c>
      <c r="AD142" s="7">
        <v>6</v>
      </c>
      <c r="AE142" s="7">
        <v>2</v>
      </c>
      <c r="AF142" s="7">
        <v>24</v>
      </c>
      <c r="AG142" s="7">
        <v>1</v>
      </c>
      <c r="AH142" s="7">
        <v>0</v>
      </c>
      <c r="AI142" s="7">
        <v>10</v>
      </c>
      <c r="AJ142" s="7" t="b">
        <v>0</v>
      </c>
      <c r="AK142" s="5" t="b">
        <v>0</v>
      </c>
      <c r="AL142" s="5" t="b">
        <v>1</v>
      </c>
      <c r="AM142" s="47" t="s">
        <v>683</v>
      </c>
      <c r="AN142" s="5">
        <v>1</v>
      </c>
      <c r="AO142" s="5">
        <v>12</v>
      </c>
      <c r="AP142" s="5" t="b">
        <v>1</v>
      </c>
      <c r="AQ142" s="47" t="s">
        <v>683</v>
      </c>
      <c r="AR142" s="5">
        <v>1</v>
      </c>
      <c r="AS142" s="7">
        <v>36</v>
      </c>
      <c r="AT142" s="5" t="b">
        <v>0</v>
      </c>
      <c r="AU142" s="6" t="s">
        <v>66</v>
      </c>
      <c r="AV142" s="5">
        <v>0</v>
      </c>
      <c r="AW142" s="5">
        <v>6</v>
      </c>
      <c r="AX142" s="5" t="b">
        <v>1</v>
      </c>
      <c r="AY142" s="47" t="s">
        <v>683</v>
      </c>
      <c r="AZ142" s="5">
        <v>1</v>
      </c>
      <c r="BA142" s="7">
        <v>36</v>
      </c>
      <c r="BB142" s="5">
        <v>4</v>
      </c>
      <c r="BC142" s="5">
        <v>4</v>
      </c>
      <c r="BD142" s="5">
        <v>1</v>
      </c>
      <c r="BE142" s="5">
        <v>1</v>
      </c>
      <c r="BF142" s="54" t="s">
        <v>684</v>
      </c>
      <c r="BJ142" s="37"/>
      <c r="BK142" s="5" t="s">
        <v>0</v>
      </c>
      <c r="BL142" s="7">
        <v>0</v>
      </c>
      <c r="BM142" s="5" t="b">
        <v>0</v>
      </c>
      <c r="BX142" s="7" t="s">
        <v>722</v>
      </c>
      <c r="CS142" s="31" t="str">
        <f t="shared" si="19"/>
        <v>.EXTRACT-AEXT-A</v>
      </c>
    </row>
    <row r="143" spans="1:97">
      <c r="A143" s="38" t="str">
        <f t="shared" si="23"/>
        <v>EXTRACT-B (EXT-B)</v>
      </c>
      <c r="C143" s="7" t="s">
        <v>521</v>
      </c>
      <c r="D143" s="7" t="s">
        <v>524</v>
      </c>
      <c r="E143" s="7" t="s">
        <v>430</v>
      </c>
      <c r="F143" s="5">
        <v>4</v>
      </c>
      <c r="G143" s="7" t="b">
        <v>0</v>
      </c>
      <c r="H143" s="7">
        <v>1</v>
      </c>
      <c r="I143" s="5" t="s">
        <v>1</v>
      </c>
      <c r="J143" s="7">
        <v>12</v>
      </c>
      <c r="K143" s="7" t="b">
        <v>0</v>
      </c>
      <c r="L143" s="5" t="b">
        <v>1</v>
      </c>
      <c r="M143" s="6" t="s">
        <v>66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7">
        <v>0</v>
      </c>
      <c r="AB143" s="7">
        <v>0</v>
      </c>
      <c r="AC143" s="7">
        <v>18</v>
      </c>
      <c r="AD143" s="7">
        <v>6</v>
      </c>
      <c r="AE143" s="7">
        <v>2</v>
      </c>
      <c r="AF143" s="7">
        <v>24</v>
      </c>
      <c r="AG143" s="7">
        <v>1</v>
      </c>
      <c r="AH143" s="7">
        <v>0</v>
      </c>
      <c r="AI143" s="7">
        <v>10</v>
      </c>
      <c r="AJ143" s="7" t="b">
        <v>0</v>
      </c>
      <c r="AK143" s="5" t="b">
        <v>0</v>
      </c>
      <c r="AL143" s="5" t="b">
        <v>1</v>
      </c>
      <c r="AM143" s="47" t="s">
        <v>683</v>
      </c>
      <c r="AN143" s="5">
        <v>1</v>
      </c>
      <c r="AO143" s="5">
        <v>12</v>
      </c>
      <c r="AP143" s="5" t="b">
        <v>1</v>
      </c>
      <c r="AQ143" s="47" t="s">
        <v>683</v>
      </c>
      <c r="AR143" s="5">
        <v>7</v>
      </c>
      <c r="AS143" s="7">
        <v>18</v>
      </c>
      <c r="AT143" s="5" t="b">
        <v>0</v>
      </c>
      <c r="AU143" s="6" t="s">
        <v>66</v>
      </c>
      <c r="AV143" s="5">
        <v>0</v>
      </c>
      <c r="AW143" s="5">
        <v>6</v>
      </c>
      <c r="AX143" s="5" t="b">
        <v>1</v>
      </c>
      <c r="AY143" s="47" t="s">
        <v>683</v>
      </c>
      <c r="AZ143" s="5">
        <v>7</v>
      </c>
      <c r="BA143" s="7">
        <v>18</v>
      </c>
      <c r="BB143" s="5">
        <v>4</v>
      </c>
      <c r="BC143" s="5">
        <v>4</v>
      </c>
      <c r="BD143" s="5">
        <v>1</v>
      </c>
      <c r="BE143" s="5">
        <v>1</v>
      </c>
      <c r="BF143" s="54" t="s">
        <v>684</v>
      </c>
      <c r="BJ143" s="37"/>
      <c r="BK143" s="5" t="s">
        <v>0</v>
      </c>
      <c r="BL143" s="7">
        <v>0</v>
      </c>
      <c r="BM143" s="5" t="b">
        <v>0</v>
      </c>
      <c r="BX143" s="7" t="s">
        <v>722</v>
      </c>
      <c r="CS143" s="31" t="str">
        <f t="shared" ref="CS143:CS152" si="37">"."&amp;SUBSTITUTE(SUBSTITUTE(SUBSTITUTE(SUBSTITUTE(A143, "(",""),")","")," ",""),"#","")</f>
        <v>.EXTRACT-BEXT-B</v>
      </c>
    </row>
    <row r="144" spans="1:97">
      <c r="A144" s="38" t="str">
        <f t="shared" si="23"/>
        <v>EXTRACT-C (EXT-C)</v>
      </c>
      <c r="C144" s="7" t="s">
        <v>520</v>
      </c>
      <c r="D144" s="7" t="s">
        <v>523</v>
      </c>
      <c r="E144" s="7" t="s">
        <v>430</v>
      </c>
      <c r="F144" s="5">
        <v>4</v>
      </c>
      <c r="G144" s="7" t="b">
        <v>0</v>
      </c>
      <c r="H144" s="7">
        <v>1</v>
      </c>
      <c r="I144" s="5" t="s">
        <v>1</v>
      </c>
      <c r="J144" s="7">
        <v>12</v>
      </c>
      <c r="K144" s="7" t="b">
        <v>0</v>
      </c>
      <c r="L144" s="5" t="b">
        <v>1</v>
      </c>
      <c r="M144" s="6" t="s">
        <v>66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7">
        <v>0</v>
      </c>
      <c r="AB144" s="7">
        <v>0</v>
      </c>
      <c r="AC144" s="7">
        <v>18</v>
      </c>
      <c r="AD144" s="7">
        <v>6</v>
      </c>
      <c r="AE144" s="7">
        <v>2</v>
      </c>
      <c r="AF144" s="7">
        <v>24</v>
      </c>
      <c r="AG144" s="7">
        <v>1</v>
      </c>
      <c r="AH144" s="7">
        <v>0</v>
      </c>
      <c r="AI144" s="7">
        <v>10</v>
      </c>
      <c r="AJ144" s="7" t="b">
        <v>0</v>
      </c>
      <c r="AK144" s="5" t="b">
        <v>0</v>
      </c>
      <c r="AL144" s="5" t="b">
        <v>1</v>
      </c>
      <c r="AM144" s="47" t="s">
        <v>683</v>
      </c>
      <c r="AN144" s="5">
        <v>1</v>
      </c>
      <c r="AO144" s="5">
        <v>12</v>
      </c>
      <c r="AP144" s="5" t="b">
        <v>1</v>
      </c>
      <c r="AQ144" s="47" t="s">
        <v>683</v>
      </c>
      <c r="AR144" s="5">
        <v>8</v>
      </c>
      <c r="AS144" s="7">
        <v>18</v>
      </c>
      <c r="AT144" s="5" t="b">
        <v>0</v>
      </c>
      <c r="AU144" s="6" t="s">
        <v>66</v>
      </c>
      <c r="AV144" s="5">
        <v>0</v>
      </c>
      <c r="AW144" s="5">
        <v>6</v>
      </c>
      <c r="AX144" s="5" t="b">
        <v>1</v>
      </c>
      <c r="AY144" s="47" t="s">
        <v>683</v>
      </c>
      <c r="AZ144" s="5">
        <v>8</v>
      </c>
      <c r="BA144" s="7">
        <v>18</v>
      </c>
      <c r="BB144" s="5">
        <v>4</v>
      </c>
      <c r="BC144" s="5">
        <v>4</v>
      </c>
      <c r="BD144" s="5">
        <v>1</v>
      </c>
      <c r="BE144" s="5">
        <v>1</v>
      </c>
      <c r="BF144" s="54" t="s">
        <v>684</v>
      </c>
      <c r="BJ144" s="37"/>
      <c r="BK144" s="5" t="s">
        <v>0</v>
      </c>
      <c r="BL144" s="7">
        <v>0</v>
      </c>
      <c r="BM144" s="5" t="b">
        <v>0</v>
      </c>
      <c r="BX144" s="7" t="s">
        <v>722</v>
      </c>
      <c r="CS144" s="31" t="str">
        <f t="shared" si="37"/>
        <v>.EXTRACT-CEXT-C</v>
      </c>
    </row>
    <row r="145" spans="1:97">
      <c r="A145" s="38" t="str">
        <f t="shared" si="23"/>
        <v>EXTRACT-D (EXT-D)</v>
      </c>
      <c r="C145" s="7" t="s">
        <v>519</v>
      </c>
      <c r="D145" s="7" t="s">
        <v>522</v>
      </c>
      <c r="E145" s="7" t="s">
        <v>430</v>
      </c>
      <c r="F145" s="5">
        <v>4</v>
      </c>
      <c r="G145" s="7" t="b">
        <v>0</v>
      </c>
      <c r="H145" s="7">
        <v>1</v>
      </c>
      <c r="I145" s="5" t="s">
        <v>1</v>
      </c>
      <c r="J145" s="7">
        <v>12</v>
      </c>
      <c r="K145" s="7" t="b">
        <v>0</v>
      </c>
      <c r="L145" s="5" t="b">
        <v>1</v>
      </c>
      <c r="M145" s="6" t="s">
        <v>66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7">
        <v>0</v>
      </c>
      <c r="AB145" s="7">
        <v>0</v>
      </c>
      <c r="AC145" s="7">
        <v>18</v>
      </c>
      <c r="AD145" s="7">
        <v>6</v>
      </c>
      <c r="AE145" s="7">
        <v>2</v>
      </c>
      <c r="AF145" s="7">
        <v>24</v>
      </c>
      <c r="AG145" s="7">
        <v>1</v>
      </c>
      <c r="AH145" s="7">
        <v>0</v>
      </c>
      <c r="AI145" s="7">
        <v>10</v>
      </c>
      <c r="AJ145" s="7" t="b">
        <v>0</v>
      </c>
      <c r="AK145" s="5" t="b">
        <v>0</v>
      </c>
      <c r="AL145" s="5" t="b">
        <v>1</v>
      </c>
      <c r="AM145" s="47" t="s">
        <v>683</v>
      </c>
      <c r="AN145" s="5">
        <v>1</v>
      </c>
      <c r="AO145" s="5">
        <v>12</v>
      </c>
      <c r="AP145" s="5" t="b">
        <v>1</v>
      </c>
      <c r="AQ145" s="47" t="s">
        <v>683</v>
      </c>
      <c r="AR145" s="5">
        <v>12</v>
      </c>
      <c r="AS145" s="7">
        <v>36</v>
      </c>
      <c r="AT145" s="5" t="b">
        <v>0</v>
      </c>
      <c r="AU145" s="6" t="s">
        <v>66</v>
      </c>
      <c r="AV145" s="5">
        <v>0</v>
      </c>
      <c r="AW145" s="5">
        <v>6</v>
      </c>
      <c r="AX145" s="5" t="b">
        <v>1</v>
      </c>
      <c r="AY145" s="47" t="s">
        <v>683</v>
      </c>
      <c r="AZ145" s="5">
        <v>12</v>
      </c>
      <c r="BA145" s="7">
        <v>36</v>
      </c>
      <c r="BB145" s="5">
        <v>4</v>
      </c>
      <c r="BC145" s="5">
        <v>4</v>
      </c>
      <c r="BD145" s="5">
        <v>1</v>
      </c>
      <c r="BE145" s="5">
        <v>1</v>
      </c>
      <c r="BF145" s="54" t="s">
        <v>684</v>
      </c>
      <c r="BJ145" s="37"/>
      <c r="BK145" s="5" t="s">
        <v>0</v>
      </c>
      <c r="BL145" s="7">
        <v>0</v>
      </c>
      <c r="BM145" s="5" t="b">
        <v>0</v>
      </c>
      <c r="BX145" s="7" t="s">
        <v>722</v>
      </c>
      <c r="CS145" s="31" t="str">
        <f t="shared" si="37"/>
        <v>.EXTRACT-DEXT-D</v>
      </c>
    </row>
    <row r="146" spans="1:97">
      <c r="A146" s="38" t="str">
        <f t="shared" si="23"/>
        <v>VERSE-A (VRS-A)</v>
      </c>
      <c r="C146" s="7" t="s">
        <v>547</v>
      </c>
      <c r="D146" s="7" t="s">
        <v>548</v>
      </c>
      <c r="E146" s="7" t="s">
        <v>430</v>
      </c>
      <c r="F146" s="5">
        <v>4</v>
      </c>
      <c r="G146" s="7" t="b">
        <v>0</v>
      </c>
      <c r="H146" s="7">
        <v>1</v>
      </c>
      <c r="I146" s="5" t="s">
        <v>1</v>
      </c>
      <c r="J146" s="7">
        <v>12</v>
      </c>
      <c r="K146" s="7" t="b">
        <v>0</v>
      </c>
      <c r="L146" s="5" t="b">
        <v>1</v>
      </c>
      <c r="M146" s="6" t="s">
        <v>66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7">
        <v>0</v>
      </c>
      <c r="AB146" s="7">
        <v>0</v>
      </c>
      <c r="AC146" s="7">
        <v>18</v>
      </c>
      <c r="AD146" s="7">
        <v>6</v>
      </c>
      <c r="AE146" s="7">
        <v>2</v>
      </c>
      <c r="AF146" s="7">
        <v>24</v>
      </c>
      <c r="AG146" s="7">
        <v>1</v>
      </c>
      <c r="AH146" s="7">
        <v>0</v>
      </c>
      <c r="AI146" s="7">
        <v>10</v>
      </c>
      <c r="AJ146" s="7" t="b">
        <v>0</v>
      </c>
      <c r="AK146" s="5" t="b">
        <v>0</v>
      </c>
      <c r="AL146" s="5" t="b">
        <v>1</v>
      </c>
      <c r="AM146" s="47" t="s">
        <v>683</v>
      </c>
      <c r="AN146" s="5">
        <v>1</v>
      </c>
      <c r="AO146" s="5">
        <v>12</v>
      </c>
      <c r="AP146" s="5" t="b">
        <v>1</v>
      </c>
      <c r="AQ146" s="47" t="s">
        <v>683</v>
      </c>
      <c r="AR146" s="5">
        <v>1</v>
      </c>
      <c r="AS146" s="7">
        <v>36</v>
      </c>
      <c r="AT146" s="5" t="b">
        <v>0</v>
      </c>
      <c r="AU146" s="6" t="s">
        <v>66</v>
      </c>
      <c r="AV146" s="5">
        <v>0</v>
      </c>
      <c r="AW146" s="5">
        <v>6</v>
      </c>
      <c r="AX146" s="5" t="b">
        <v>1</v>
      </c>
      <c r="AY146" s="47" t="s">
        <v>683</v>
      </c>
      <c r="AZ146" s="5">
        <v>1</v>
      </c>
      <c r="BA146" s="7">
        <v>36</v>
      </c>
      <c r="BB146" s="5">
        <v>4</v>
      </c>
      <c r="BC146" s="5">
        <v>4</v>
      </c>
      <c r="BD146" s="5">
        <v>1</v>
      </c>
      <c r="BE146" s="5">
        <v>1</v>
      </c>
      <c r="BF146" s="54" t="s">
        <v>684</v>
      </c>
      <c r="BJ146" s="37"/>
      <c r="BK146" s="5" t="s">
        <v>0</v>
      </c>
      <c r="BL146" s="7">
        <v>0</v>
      </c>
      <c r="BM146" s="5" t="b">
        <v>0</v>
      </c>
      <c r="BX146" s="7" t="s">
        <v>723</v>
      </c>
      <c r="CS146" s="31" t="str">
        <f t="shared" ref="CS146:CS147" si="38">"."&amp;SUBSTITUTE(SUBSTITUTE(SUBSTITUTE(SUBSTITUTE(A146, "(",""),")","")," ",""),"#","")</f>
        <v>.VERSE-AVRS-A</v>
      </c>
    </row>
    <row r="147" spans="1:97">
      <c r="A147" s="38" t="str">
        <f t="shared" si="23"/>
        <v>VERSE-B (VRS-B)</v>
      </c>
      <c r="C147" s="7" t="s">
        <v>549</v>
      </c>
      <c r="D147" s="7" t="s">
        <v>550</v>
      </c>
      <c r="E147" s="7" t="s">
        <v>430</v>
      </c>
      <c r="F147" s="5">
        <v>4</v>
      </c>
      <c r="G147" s="7" t="b">
        <v>0</v>
      </c>
      <c r="H147" s="7">
        <v>1</v>
      </c>
      <c r="I147" s="5" t="s">
        <v>1</v>
      </c>
      <c r="J147" s="7">
        <v>12</v>
      </c>
      <c r="K147" s="7" t="b">
        <v>0</v>
      </c>
      <c r="L147" s="5" t="b">
        <v>1</v>
      </c>
      <c r="M147" s="6" t="s">
        <v>66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0</v>
      </c>
      <c r="Y147" s="5" t="b">
        <v>0</v>
      </c>
      <c r="Z147" s="5" t="b">
        <v>0</v>
      </c>
      <c r="AA147" s="7">
        <v>0</v>
      </c>
      <c r="AB147" s="7">
        <v>0</v>
      </c>
      <c r="AC147" s="7">
        <v>18</v>
      </c>
      <c r="AD147" s="7">
        <v>6</v>
      </c>
      <c r="AE147" s="7">
        <v>2</v>
      </c>
      <c r="AF147" s="7">
        <v>24</v>
      </c>
      <c r="AG147" s="7">
        <v>1</v>
      </c>
      <c r="AH147" s="7">
        <v>0</v>
      </c>
      <c r="AI147" s="7">
        <v>10</v>
      </c>
      <c r="AJ147" s="7" t="b">
        <v>0</v>
      </c>
      <c r="AK147" s="5" t="b">
        <v>0</v>
      </c>
      <c r="AL147" s="5" t="b">
        <v>1</v>
      </c>
      <c r="AM147" s="47" t="s">
        <v>683</v>
      </c>
      <c r="AN147" s="5">
        <v>1</v>
      </c>
      <c r="AO147" s="5">
        <v>12</v>
      </c>
      <c r="AP147" s="5" t="b">
        <v>1</v>
      </c>
      <c r="AQ147" s="47" t="s">
        <v>683</v>
      </c>
      <c r="AR147" s="5">
        <v>7</v>
      </c>
      <c r="AS147" s="7">
        <v>18</v>
      </c>
      <c r="AT147" s="5" t="b">
        <v>0</v>
      </c>
      <c r="AU147" s="6" t="s">
        <v>66</v>
      </c>
      <c r="AV147" s="5">
        <v>0</v>
      </c>
      <c r="AW147" s="5">
        <v>6</v>
      </c>
      <c r="AX147" s="5" t="b">
        <v>1</v>
      </c>
      <c r="AY147" s="47" t="s">
        <v>683</v>
      </c>
      <c r="AZ147" s="5">
        <v>7</v>
      </c>
      <c r="BA147" s="7">
        <v>18</v>
      </c>
      <c r="BB147" s="5">
        <v>4</v>
      </c>
      <c r="BC147" s="5">
        <v>4</v>
      </c>
      <c r="BD147" s="5">
        <v>1</v>
      </c>
      <c r="BE147" s="5">
        <v>1</v>
      </c>
      <c r="BF147" s="54" t="s">
        <v>684</v>
      </c>
      <c r="BJ147" s="37"/>
      <c r="BK147" s="5" t="s">
        <v>0</v>
      </c>
      <c r="BL147" s="7">
        <v>0</v>
      </c>
      <c r="BM147" s="5" t="b">
        <v>0</v>
      </c>
      <c r="BX147" s="7" t="s">
        <v>723</v>
      </c>
      <c r="CS147" s="31" t="str">
        <f t="shared" si="38"/>
        <v>.VERSE-BVRS-B</v>
      </c>
    </row>
    <row r="148" spans="1:97">
      <c r="A148" s="38" t="str">
        <f t="shared" si="23"/>
        <v>BOX-A (BOX-A)</v>
      </c>
      <c r="C148" s="7" t="s">
        <v>525</v>
      </c>
      <c r="D148" s="7" t="s">
        <v>525</v>
      </c>
      <c r="E148" s="7" t="s">
        <v>430</v>
      </c>
      <c r="F148" s="5">
        <v>4</v>
      </c>
      <c r="G148" s="7" t="b">
        <v>0</v>
      </c>
      <c r="H148" s="7">
        <v>1</v>
      </c>
      <c r="I148" s="5" t="s">
        <v>1</v>
      </c>
      <c r="J148" s="7">
        <v>12</v>
      </c>
      <c r="K148" s="7" t="b">
        <v>0</v>
      </c>
      <c r="L148" s="5" t="b">
        <v>1</v>
      </c>
      <c r="M148" s="6" t="s">
        <v>66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0</v>
      </c>
      <c r="Y148" s="5" t="b">
        <v>0</v>
      </c>
      <c r="Z148" s="5" t="b">
        <v>0</v>
      </c>
      <c r="AA148" s="7">
        <v>0</v>
      </c>
      <c r="AB148" s="7">
        <v>0</v>
      </c>
      <c r="AC148" s="7">
        <v>18</v>
      </c>
      <c r="AD148" s="7">
        <v>6</v>
      </c>
      <c r="AE148" s="7">
        <v>2</v>
      </c>
      <c r="AF148" s="7">
        <v>24</v>
      </c>
      <c r="AG148" s="7">
        <v>1</v>
      </c>
      <c r="AH148" s="7">
        <v>0</v>
      </c>
      <c r="AI148" s="7">
        <v>10</v>
      </c>
      <c r="AJ148" s="7" t="b">
        <v>0</v>
      </c>
      <c r="AK148" s="5" t="b">
        <v>0</v>
      </c>
      <c r="AL148" s="5" t="b">
        <v>1</v>
      </c>
      <c r="AM148" s="47" t="s">
        <v>683</v>
      </c>
      <c r="AN148" s="5">
        <v>1</v>
      </c>
      <c r="AO148" s="5">
        <v>12</v>
      </c>
      <c r="AP148" s="5" t="b">
        <v>1</v>
      </c>
      <c r="AQ148" s="47" t="s">
        <v>683</v>
      </c>
      <c r="AR148" s="5">
        <v>1</v>
      </c>
      <c r="AS148" s="7">
        <v>36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1</v>
      </c>
      <c r="AY148" s="47" t="s">
        <v>683</v>
      </c>
      <c r="AZ148" s="5">
        <v>1</v>
      </c>
      <c r="BA148" s="7">
        <v>36</v>
      </c>
      <c r="BB148" s="5">
        <v>4</v>
      </c>
      <c r="BC148" s="5">
        <v>4</v>
      </c>
      <c r="BD148" s="5">
        <v>1</v>
      </c>
      <c r="BE148" s="5">
        <v>1</v>
      </c>
      <c r="BF148" s="54" t="s">
        <v>684</v>
      </c>
      <c r="BJ148" s="37"/>
      <c r="BK148" s="5" t="s">
        <v>0</v>
      </c>
      <c r="BL148" s="7">
        <v>0</v>
      </c>
      <c r="BM148" s="5" t="b">
        <v>0</v>
      </c>
      <c r="BX148" s="7" t="s">
        <v>724</v>
      </c>
      <c r="CS148" s="31" t="str">
        <f t="shared" si="37"/>
        <v>.BOX-ABOX-A</v>
      </c>
    </row>
    <row r="149" spans="1:97">
      <c r="A149" s="38" t="str">
        <f t="shared" si="23"/>
        <v>BOX-B (BOX-B)</v>
      </c>
      <c r="C149" s="7" t="s">
        <v>526</v>
      </c>
      <c r="D149" s="7" t="s">
        <v>526</v>
      </c>
      <c r="E149" s="7" t="s">
        <v>430</v>
      </c>
      <c r="F149" s="5">
        <v>4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7">
        <v>0</v>
      </c>
      <c r="AB149" s="7">
        <v>0</v>
      </c>
      <c r="AC149" s="7">
        <v>18</v>
      </c>
      <c r="AD149" s="7">
        <v>6</v>
      </c>
      <c r="AE149" s="7">
        <v>2</v>
      </c>
      <c r="AF149" s="7">
        <v>24</v>
      </c>
      <c r="AG149" s="7">
        <v>1</v>
      </c>
      <c r="AH149" s="7">
        <v>0</v>
      </c>
      <c r="AI149" s="7">
        <v>10</v>
      </c>
      <c r="AJ149" s="7" t="b">
        <v>0</v>
      </c>
      <c r="AK149" s="5" t="b">
        <v>0</v>
      </c>
      <c r="AL149" s="5" t="b">
        <v>1</v>
      </c>
      <c r="AM149" s="47" t="s">
        <v>683</v>
      </c>
      <c r="AN149" s="5">
        <v>1</v>
      </c>
      <c r="AO149" s="5">
        <v>12</v>
      </c>
      <c r="AP149" s="5" t="b">
        <v>1</v>
      </c>
      <c r="AQ149" s="47" t="s">
        <v>683</v>
      </c>
      <c r="AR149" s="5">
        <v>7</v>
      </c>
      <c r="AS149" s="7">
        <v>18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1</v>
      </c>
      <c r="AY149" s="47" t="s">
        <v>683</v>
      </c>
      <c r="AZ149" s="5">
        <v>7</v>
      </c>
      <c r="BA149" s="7">
        <v>18</v>
      </c>
      <c r="BB149" s="5">
        <v>4</v>
      </c>
      <c r="BC149" s="5">
        <v>4</v>
      </c>
      <c r="BD149" s="5">
        <v>1</v>
      </c>
      <c r="BE149" s="5">
        <v>1</v>
      </c>
      <c r="BF149" s="54" t="s">
        <v>684</v>
      </c>
      <c r="BJ149" s="37"/>
      <c r="BK149" s="5" t="s">
        <v>0</v>
      </c>
      <c r="BL149" s="7">
        <v>0</v>
      </c>
      <c r="BM149" s="5" t="b">
        <v>0</v>
      </c>
      <c r="BX149" s="7" t="s">
        <v>724</v>
      </c>
      <c r="CS149" s="31" t="str">
        <f t="shared" si="37"/>
        <v>.BOX-BBOX-B</v>
      </c>
    </row>
    <row r="150" spans="1:97">
      <c r="A150" s="38" t="str">
        <f t="shared" si="23"/>
        <v>LETTER-A (LTR-A)</v>
      </c>
      <c r="C150" s="7" t="s">
        <v>527</v>
      </c>
      <c r="D150" s="7" t="s">
        <v>528</v>
      </c>
      <c r="E150" s="7" t="s">
        <v>430</v>
      </c>
      <c r="F150" s="5">
        <v>4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7">
        <v>0</v>
      </c>
      <c r="AB150" s="7">
        <v>0</v>
      </c>
      <c r="AC150" s="7">
        <v>18</v>
      </c>
      <c r="AD150" s="7">
        <v>6</v>
      </c>
      <c r="AE150" s="7">
        <v>2</v>
      </c>
      <c r="AF150" s="7">
        <v>24</v>
      </c>
      <c r="AG150" s="7">
        <v>1</v>
      </c>
      <c r="AH150" s="7">
        <v>0</v>
      </c>
      <c r="AI150" s="7">
        <v>10</v>
      </c>
      <c r="AJ150" s="7" t="b">
        <v>0</v>
      </c>
      <c r="AK150" s="5" t="b">
        <v>0</v>
      </c>
      <c r="AL150" s="5" t="b">
        <v>1</v>
      </c>
      <c r="AM150" s="47" t="s">
        <v>683</v>
      </c>
      <c r="AN150" s="5">
        <v>1</v>
      </c>
      <c r="AO150" s="5">
        <v>12</v>
      </c>
      <c r="AP150" s="5" t="b">
        <v>1</v>
      </c>
      <c r="AQ150" s="47" t="s">
        <v>683</v>
      </c>
      <c r="AR150" s="5">
        <v>1</v>
      </c>
      <c r="AS150" s="7">
        <v>36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1</v>
      </c>
      <c r="AY150" s="47" t="s">
        <v>683</v>
      </c>
      <c r="AZ150" s="5">
        <v>1</v>
      </c>
      <c r="BA150" s="7">
        <v>36</v>
      </c>
      <c r="BB150" s="5">
        <v>4</v>
      </c>
      <c r="BC150" s="5">
        <v>4</v>
      </c>
      <c r="BD150" s="5">
        <v>1</v>
      </c>
      <c r="BE150" s="5">
        <v>1</v>
      </c>
      <c r="BF150" s="54" t="s">
        <v>684</v>
      </c>
      <c r="BJ150" s="37"/>
      <c r="BK150" s="5" t="s">
        <v>0</v>
      </c>
      <c r="BL150" s="7">
        <v>0</v>
      </c>
      <c r="BM150" s="5" t="b">
        <v>0</v>
      </c>
      <c r="BX150" s="7" t="s">
        <v>725</v>
      </c>
      <c r="CS150" s="31" t="str">
        <f t="shared" si="37"/>
        <v>.LETTER-ALTR-A</v>
      </c>
    </row>
    <row r="151" spans="1:97">
      <c r="A151" s="38" t="str">
        <f t="shared" si="23"/>
        <v>LETTER-B (LTR-B)</v>
      </c>
      <c r="C151" s="7" t="s">
        <v>529</v>
      </c>
      <c r="D151" s="7" t="s">
        <v>530</v>
      </c>
      <c r="E151" s="7" t="s">
        <v>430</v>
      </c>
      <c r="F151" s="5">
        <v>4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7">
        <v>0</v>
      </c>
      <c r="AB151" s="7">
        <v>0</v>
      </c>
      <c r="AC151" s="7">
        <v>18</v>
      </c>
      <c r="AD151" s="7">
        <v>6</v>
      </c>
      <c r="AE151" s="7">
        <v>2</v>
      </c>
      <c r="AF151" s="7">
        <v>24</v>
      </c>
      <c r="AG151" s="7">
        <v>1</v>
      </c>
      <c r="AH151" s="7">
        <v>0</v>
      </c>
      <c r="AI151" s="7">
        <v>10</v>
      </c>
      <c r="AJ151" s="7" t="b">
        <v>0</v>
      </c>
      <c r="AK151" s="5" t="b">
        <v>0</v>
      </c>
      <c r="AL151" s="5" t="b">
        <v>1</v>
      </c>
      <c r="AM151" s="47" t="s">
        <v>683</v>
      </c>
      <c r="AN151" s="5">
        <v>1</v>
      </c>
      <c r="AO151" s="5">
        <v>12</v>
      </c>
      <c r="AP151" s="5" t="b">
        <v>1</v>
      </c>
      <c r="AQ151" s="47" t="s">
        <v>683</v>
      </c>
      <c r="AR151" s="5">
        <v>7</v>
      </c>
      <c r="AS151" s="7">
        <v>18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1</v>
      </c>
      <c r="AY151" s="47" t="s">
        <v>683</v>
      </c>
      <c r="AZ151" s="5">
        <v>7</v>
      </c>
      <c r="BA151" s="7">
        <v>18</v>
      </c>
      <c r="BB151" s="5">
        <v>4</v>
      </c>
      <c r="BC151" s="5">
        <v>4</v>
      </c>
      <c r="BD151" s="5">
        <v>1</v>
      </c>
      <c r="BE151" s="5">
        <v>1</v>
      </c>
      <c r="BF151" s="54" t="s">
        <v>684</v>
      </c>
      <c r="BJ151" s="37"/>
      <c r="BK151" s="5" t="s">
        <v>0</v>
      </c>
      <c r="BL151" s="7">
        <v>0</v>
      </c>
      <c r="BM151" s="5" t="b">
        <v>0</v>
      </c>
      <c r="BX151" s="7" t="s">
        <v>725</v>
      </c>
      <c r="CS151" s="31" t="str">
        <f t="shared" si="37"/>
        <v>.LETTER-BLTR-B</v>
      </c>
    </row>
    <row r="152" spans="1:97">
      <c r="A152" s="38" t="str">
        <f t="shared" si="23"/>
        <v>LETTER-C (LTR-C)</v>
      </c>
      <c r="C152" s="7" t="s">
        <v>531</v>
      </c>
      <c r="D152" s="7" t="s">
        <v>532</v>
      </c>
      <c r="E152" s="7" t="s">
        <v>430</v>
      </c>
      <c r="F152" s="5">
        <v>4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7">
        <v>0</v>
      </c>
      <c r="AB152" s="7">
        <v>0</v>
      </c>
      <c r="AC152" s="7">
        <v>18</v>
      </c>
      <c r="AD152" s="7">
        <v>6</v>
      </c>
      <c r="AE152" s="7">
        <v>2</v>
      </c>
      <c r="AF152" s="7">
        <v>24</v>
      </c>
      <c r="AG152" s="7">
        <v>1</v>
      </c>
      <c r="AH152" s="7">
        <v>0</v>
      </c>
      <c r="AI152" s="7">
        <v>10</v>
      </c>
      <c r="AJ152" s="7" t="b">
        <v>0</v>
      </c>
      <c r="AK152" s="5" t="b">
        <v>0</v>
      </c>
      <c r="AL152" s="5" t="b">
        <v>1</v>
      </c>
      <c r="AM152" s="47" t="s">
        <v>683</v>
      </c>
      <c r="AN152" s="5">
        <v>1</v>
      </c>
      <c r="AO152" s="5">
        <v>12</v>
      </c>
      <c r="AP152" s="5" t="b">
        <v>1</v>
      </c>
      <c r="AQ152" s="47" t="s">
        <v>683</v>
      </c>
      <c r="AR152" s="5">
        <v>8</v>
      </c>
      <c r="AS152" s="7">
        <v>18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1</v>
      </c>
      <c r="AY152" s="47" t="s">
        <v>683</v>
      </c>
      <c r="AZ152" s="5">
        <v>8</v>
      </c>
      <c r="BA152" s="7">
        <v>18</v>
      </c>
      <c r="BB152" s="5">
        <v>4</v>
      </c>
      <c r="BC152" s="5">
        <v>4</v>
      </c>
      <c r="BD152" s="5">
        <v>1</v>
      </c>
      <c r="BE152" s="5">
        <v>1</v>
      </c>
      <c r="BF152" s="54" t="s">
        <v>684</v>
      </c>
      <c r="BJ152" s="37"/>
      <c r="BK152" s="5" t="s">
        <v>0</v>
      </c>
      <c r="BL152" s="7">
        <v>0</v>
      </c>
      <c r="BM152" s="5" t="b">
        <v>0</v>
      </c>
      <c r="BX152" s="7" t="s">
        <v>725</v>
      </c>
      <c r="CS152" s="31" t="str">
        <f t="shared" si="37"/>
        <v>.LETTER-CLTR-C</v>
      </c>
    </row>
    <row r="153" spans="1:97">
      <c r="A153" s="38" t="str">
        <f t="shared" si="23"/>
        <v>LETTER-D (LTR-D)</v>
      </c>
      <c r="C153" s="7" t="s">
        <v>533</v>
      </c>
      <c r="D153" s="7" t="s">
        <v>534</v>
      </c>
      <c r="E153" s="7" t="s">
        <v>430</v>
      </c>
      <c r="F153" s="5">
        <v>4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7">
        <v>0</v>
      </c>
      <c r="AB153" s="7">
        <v>0</v>
      </c>
      <c r="AC153" s="7">
        <v>18</v>
      </c>
      <c r="AD153" s="7">
        <v>6</v>
      </c>
      <c r="AE153" s="7">
        <v>2</v>
      </c>
      <c r="AF153" s="7">
        <v>24</v>
      </c>
      <c r="AG153" s="7">
        <v>1</v>
      </c>
      <c r="AH153" s="7">
        <v>0</v>
      </c>
      <c r="AI153" s="7">
        <v>10</v>
      </c>
      <c r="AJ153" s="7" t="b">
        <v>0</v>
      </c>
      <c r="AK153" s="5" t="b">
        <v>0</v>
      </c>
      <c r="AL153" s="5" t="b">
        <v>1</v>
      </c>
      <c r="AM153" s="47" t="s">
        <v>683</v>
      </c>
      <c r="AN153" s="5">
        <v>1</v>
      </c>
      <c r="AO153" s="5">
        <v>12</v>
      </c>
      <c r="AP153" s="5" t="b">
        <v>1</v>
      </c>
      <c r="AQ153" s="47" t="s">
        <v>683</v>
      </c>
      <c r="AR153" s="5">
        <v>12</v>
      </c>
      <c r="AS153" s="7">
        <v>36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1</v>
      </c>
      <c r="AY153" s="47" t="s">
        <v>683</v>
      </c>
      <c r="AZ153" s="5">
        <v>12</v>
      </c>
      <c r="BA153" s="7">
        <v>36</v>
      </c>
      <c r="BB153" s="5">
        <v>4</v>
      </c>
      <c r="BC153" s="5">
        <v>4</v>
      </c>
      <c r="BD153" s="5">
        <v>1</v>
      </c>
      <c r="BE153" s="5">
        <v>1</v>
      </c>
      <c r="BF153" s="54" t="s">
        <v>684</v>
      </c>
      <c r="BJ153" s="37"/>
      <c r="BK153" s="5" t="s">
        <v>0</v>
      </c>
      <c r="BL153" s="7">
        <v>0</v>
      </c>
      <c r="BM153" s="5" t="b">
        <v>0</v>
      </c>
      <c r="BX153" s="7" t="s">
        <v>725</v>
      </c>
      <c r="CS153" s="31" t="str">
        <f t="shared" ref="CS153:CS155" si="39">"."&amp;SUBSTITUTE(SUBSTITUTE(SUBSTITUTE(SUBSTITUTE(A153, "(",""),")","")," ",""),"#","")</f>
        <v>.LETTER-DLTR-D</v>
      </c>
    </row>
    <row r="154" spans="1:97">
      <c r="A154" s="38" t="str">
        <f t="shared" si="23"/>
        <v>COMPUTER-A (COM-A)</v>
      </c>
      <c r="C154" s="7" t="s">
        <v>535</v>
      </c>
      <c r="D154" s="7" t="s">
        <v>536</v>
      </c>
      <c r="E154" s="7" t="s">
        <v>430</v>
      </c>
      <c r="F154" s="5">
        <v>4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7">
        <v>0</v>
      </c>
      <c r="AB154" s="7">
        <v>0</v>
      </c>
      <c r="AC154" s="7">
        <v>18</v>
      </c>
      <c r="AD154" s="7">
        <v>6</v>
      </c>
      <c r="AE154" s="7">
        <v>2</v>
      </c>
      <c r="AF154" s="7">
        <v>24</v>
      </c>
      <c r="AG154" s="7">
        <v>1</v>
      </c>
      <c r="AH154" s="7">
        <v>0</v>
      </c>
      <c r="AI154" s="7">
        <v>10</v>
      </c>
      <c r="AJ154" s="7" t="b">
        <v>0</v>
      </c>
      <c r="AK154" s="5" t="b">
        <v>0</v>
      </c>
      <c r="AL154" s="5" t="b">
        <v>1</v>
      </c>
      <c r="AM154" s="47" t="s">
        <v>683</v>
      </c>
      <c r="AN154" s="5">
        <v>1</v>
      </c>
      <c r="AO154" s="5">
        <v>12</v>
      </c>
      <c r="AP154" s="5" t="b">
        <v>1</v>
      </c>
      <c r="AQ154" s="47" t="s">
        <v>683</v>
      </c>
      <c r="AR154" s="5">
        <v>1</v>
      </c>
      <c r="AS154" s="7">
        <v>36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1</v>
      </c>
      <c r="AY154" s="47" t="s">
        <v>683</v>
      </c>
      <c r="AZ154" s="5">
        <v>1</v>
      </c>
      <c r="BA154" s="7">
        <v>36</v>
      </c>
      <c r="BB154" s="5">
        <v>4</v>
      </c>
      <c r="BC154" s="5">
        <v>4</v>
      </c>
      <c r="BD154" s="5">
        <v>1</v>
      </c>
      <c r="BE154" s="5">
        <v>1</v>
      </c>
      <c r="BF154" s="54" t="s">
        <v>684</v>
      </c>
      <c r="BJ154" s="37"/>
      <c r="BK154" s="5" t="s">
        <v>0</v>
      </c>
      <c r="BL154" s="7">
        <v>0</v>
      </c>
      <c r="BM154" s="5" t="b">
        <v>0</v>
      </c>
      <c r="BX154" s="7" t="s">
        <v>726</v>
      </c>
      <c r="CS154" s="31" t="str">
        <f t="shared" si="39"/>
        <v>.COMPUTER-ACOM-A</v>
      </c>
    </row>
    <row r="155" spans="1:97">
      <c r="A155" s="38" t="str">
        <f t="shared" si="23"/>
        <v>COMPUTER-B (COM-B)</v>
      </c>
      <c r="C155" s="7" t="s">
        <v>537</v>
      </c>
      <c r="D155" s="7" t="s">
        <v>538</v>
      </c>
      <c r="E155" s="7" t="s">
        <v>430</v>
      </c>
      <c r="F155" s="5">
        <v>4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7">
        <v>0</v>
      </c>
      <c r="AB155" s="7">
        <v>0</v>
      </c>
      <c r="AC155" s="7">
        <v>18</v>
      </c>
      <c r="AD155" s="7">
        <v>6</v>
      </c>
      <c r="AE155" s="7">
        <v>2</v>
      </c>
      <c r="AF155" s="7">
        <v>24</v>
      </c>
      <c r="AG155" s="7">
        <v>1</v>
      </c>
      <c r="AH155" s="7">
        <v>0</v>
      </c>
      <c r="AI155" s="7">
        <v>10</v>
      </c>
      <c r="AJ155" s="7" t="b">
        <v>0</v>
      </c>
      <c r="AK155" s="5" t="b">
        <v>0</v>
      </c>
      <c r="AL155" s="5" t="b">
        <v>1</v>
      </c>
      <c r="AM155" s="47" t="s">
        <v>683</v>
      </c>
      <c r="AN155" s="5">
        <v>1</v>
      </c>
      <c r="AO155" s="5">
        <v>12</v>
      </c>
      <c r="AP155" s="5" t="b">
        <v>1</v>
      </c>
      <c r="AQ155" s="47" t="s">
        <v>683</v>
      </c>
      <c r="AR155" s="5">
        <v>7</v>
      </c>
      <c r="AS155" s="7">
        <v>18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1</v>
      </c>
      <c r="AY155" s="47" t="s">
        <v>683</v>
      </c>
      <c r="AZ155" s="5">
        <v>7</v>
      </c>
      <c r="BA155" s="7">
        <v>18</v>
      </c>
      <c r="BB155" s="5">
        <v>4</v>
      </c>
      <c r="BC155" s="5">
        <v>4</v>
      </c>
      <c r="BD155" s="5">
        <v>1</v>
      </c>
      <c r="BE155" s="5">
        <v>1</v>
      </c>
      <c r="BF155" s="54" t="s">
        <v>684</v>
      </c>
      <c r="BJ155" s="37"/>
      <c r="BK155" s="5" t="s">
        <v>0</v>
      </c>
      <c r="BL155" s="7">
        <v>0</v>
      </c>
      <c r="BM155" s="5" t="b">
        <v>0</v>
      </c>
      <c r="BX155" s="7" t="s">
        <v>726</v>
      </c>
      <c r="CS155" s="31" t="str">
        <f t="shared" si="39"/>
        <v>.COMPUTER-BCOM-B</v>
      </c>
    </row>
    <row r="156" spans="1:97">
      <c r="A156" s="38" t="str">
        <f t="shared" si="23"/>
        <v>SIDEBAR-A (SIDE-A)</v>
      </c>
      <c r="C156" s="7" t="s">
        <v>539</v>
      </c>
      <c r="D156" s="7" t="s">
        <v>541</v>
      </c>
      <c r="E156" s="7" t="s">
        <v>430</v>
      </c>
      <c r="F156" s="5">
        <v>4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7">
        <v>0</v>
      </c>
      <c r="AB156" s="7">
        <v>0</v>
      </c>
      <c r="AC156" s="7">
        <v>18</v>
      </c>
      <c r="AD156" s="7">
        <v>6</v>
      </c>
      <c r="AE156" s="7">
        <v>2</v>
      </c>
      <c r="AF156" s="7">
        <v>24</v>
      </c>
      <c r="AG156" s="7">
        <v>1</v>
      </c>
      <c r="AH156" s="7">
        <v>0</v>
      </c>
      <c r="AI156" s="7">
        <v>10</v>
      </c>
      <c r="AJ156" s="7" t="b">
        <v>0</v>
      </c>
      <c r="AK156" s="5" t="b">
        <v>0</v>
      </c>
      <c r="AL156" s="5" t="b">
        <v>1</v>
      </c>
      <c r="AM156" s="47" t="s">
        <v>683</v>
      </c>
      <c r="AN156" s="5">
        <v>1</v>
      </c>
      <c r="AO156" s="5">
        <v>12</v>
      </c>
      <c r="AP156" s="5" t="b">
        <v>1</v>
      </c>
      <c r="AQ156" s="47" t="s">
        <v>683</v>
      </c>
      <c r="AR156" s="5">
        <v>1</v>
      </c>
      <c r="AS156" s="7">
        <v>36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1</v>
      </c>
      <c r="AY156" s="47" t="s">
        <v>683</v>
      </c>
      <c r="AZ156" s="5">
        <v>1</v>
      </c>
      <c r="BA156" s="7">
        <v>36</v>
      </c>
      <c r="BB156" s="5">
        <v>4</v>
      </c>
      <c r="BC156" s="5">
        <v>4</v>
      </c>
      <c r="BD156" s="5">
        <v>1</v>
      </c>
      <c r="BE156" s="5">
        <v>1</v>
      </c>
      <c r="BF156" s="55" t="s">
        <v>682</v>
      </c>
      <c r="BJ156" s="37"/>
      <c r="BK156" s="5" t="s">
        <v>0</v>
      </c>
      <c r="BL156" s="7">
        <v>0</v>
      </c>
      <c r="BM156" s="5" t="b">
        <v>0</v>
      </c>
      <c r="BX156" s="7" t="s">
        <v>727</v>
      </c>
      <c r="CS156" s="31" t="str">
        <f t="shared" ref="CS156:CS161" si="40">"."&amp;SUBSTITUTE(SUBSTITUTE(SUBSTITUTE(SUBSTITUTE(A156, "(",""),")","")," ",""),"#","")</f>
        <v>.SIDEBAR-ASIDE-A</v>
      </c>
    </row>
    <row r="157" spans="1:97">
      <c r="A157" s="38" t="str">
        <f t="shared" si="23"/>
        <v>SIDEBAR-B (SIDE-B)</v>
      </c>
      <c r="C157" s="7" t="s">
        <v>540</v>
      </c>
      <c r="D157" s="7" t="s">
        <v>542</v>
      </c>
      <c r="E157" s="7" t="s">
        <v>430</v>
      </c>
      <c r="F157" s="5">
        <v>4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7">
        <v>0</v>
      </c>
      <c r="AB157" s="7">
        <v>0</v>
      </c>
      <c r="AC157" s="7">
        <v>18</v>
      </c>
      <c r="AD157" s="7">
        <v>6</v>
      </c>
      <c r="AE157" s="7">
        <v>2</v>
      </c>
      <c r="AF157" s="7">
        <v>24</v>
      </c>
      <c r="AG157" s="7">
        <v>1</v>
      </c>
      <c r="AH157" s="7">
        <v>0</v>
      </c>
      <c r="AI157" s="7">
        <v>10</v>
      </c>
      <c r="AJ157" s="7" t="b">
        <v>0</v>
      </c>
      <c r="AK157" s="5" t="b">
        <v>0</v>
      </c>
      <c r="AL157" s="5" t="b">
        <v>1</v>
      </c>
      <c r="AM157" s="47" t="s">
        <v>683</v>
      </c>
      <c r="AN157" s="5">
        <v>1</v>
      </c>
      <c r="AO157" s="5">
        <v>12</v>
      </c>
      <c r="AP157" s="5" t="b">
        <v>1</v>
      </c>
      <c r="AQ157" s="47" t="s">
        <v>683</v>
      </c>
      <c r="AR157" s="5">
        <v>7</v>
      </c>
      <c r="AS157" s="7">
        <v>18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1</v>
      </c>
      <c r="AY157" s="47" t="s">
        <v>683</v>
      </c>
      <c r="AZ157" s="5">
        <v>7</v>
      </c>
      <c r="BA157" s="7">
        <v>18</v>
      </c>
      <c r="BB157" s="5">
        <v>4</v>
      </c>
      <c r="BC157" s="5">
        <v>4</v>
      </c>
      <c r="BD157" s="5">
        <v>1</v>
      </c>
      <c r="BE157" s="5">
        <v>1</v>
      </c>
      <c r="BF157" s="55" t="s">
        <v>682</v>
      </c>
      <c r="BJ157" s="37"/>
      <c r="BK157" s="5" t="s">
        <v>0</v>
      </c>
      <c r="BL157" s="7">
        <v>0</v>
      </c>
      <c r="BM157" s="5" t="b">
        <v>0</v>
      </c>
      <c r="BX157" s="7" t="s">
        <v>727</v>
      </c>
      <c r="CS157" s="31" t="str">
        <f t="shared" si="40"/>
        <v>.SIDEBAR-BSIDE-B</v>
      </c>
    </row>
    <row r="158" spans="1:97">
      <c r="A158" s="38" t="str">
        <f t="shared" si="23"/>
        <v>PULL-QUOTE (PQ)</v>
      </c>
      <c r="C158" s="7" t="s">
        <v>402</v>
      </c>
      <c r="D158" s="7" t="s">
        <v>403</v>
      </c>
      <c r="E158" s="7" t="s">
        <v>430</v>
      </c>
      <c r="F158" s="5">
        <v>4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7">
        <v>0</v>
      </c>
      <c r="AB158" s="7">
        <v>0</v>
      </c>
      <c r="AC158" s="7">
        <v>18</v>
      </c>
      <c r="AD158" s="7">
        <v>6</v>
      </c>
      <c r="AE158" s="7">
        <v>2</v>
      </c>
      <c r="AF158" s="7">
        <v>24</v>
      </c>
      <c r="AG158" s="7">
        <v>1</v>
      </c>
      <c r="AH158" s="7">
        <v>0</v>
      </c>
      <c r="AI158" s="7">
        <v>10</v>
      </c>
      <c r="AJ158" s="7" t="b">
        <v>0</v>
      </c>
      <c r="AK158" s="5" t="b">
        <v>0</v>
      </c>
      <c r="AL158" s="5" t="b">
        <v>1</v>
      </c>
      <c r="AM158" s="47" t="s">
        <v>683</v>
      </c>
      <c r="AN158" s="5">
        <v>1</v>
      </c>
      <c r="AO158" s="5">
        <v>12</v>
      </c>
      <c r="AP158" s="5" t="b">
        <v>1</v>
      </c>
      <c r="AQ158" s="47" t="s">
        <v>683</v>
      </c>
      <c r="AR158" s="5">
        <v>1</v>
      </c>
      <c r="AS158" s="7">
        <v>36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1</v>
      </c>
      <c r="AY158" s="47" t="s">
        <v>683</v>
      </c>
      <c r="AZ158" s="5">
        <v>1</v>
      </c>
      <c r="BA158" s="7">
        <v>36</v>
      </c>
      <c r="BB158" s="5">
        <v>4</v>
      </c>
      <c r="BC158" s="5">
        <v>4</v>
      </c>
      <c r="BD158" s="5">
        <v>1</v>
      </c>
      <c r="BE158" s="5">
        <v>1</v>
      </c>
      <c r="BF158" s="55" t="s">
        <v>682</v>
      </c>
      <c r="BJ158" s="37"/>
      <c r="BK158" s="5" t="s">
        <v>0</v>
      </c>
      <c r="BL158" s="7">
        <v>0</v>
      </c>
      <c r="BM158" s="5" t="b">
        <v>0</v>
      </c>
      <c r="BX158" s="7" t="s">
        <v>728</v>
      </c>
      <c r="CS158" s="31" t="str">
        <f t="shared" si="40"/>
        <v>.PULL-QUOTEPQ</v>
      </c>
    </row>
    <row r="159" spans="1:97">
      <c r="A159" s="38" t="str">
        <f t="shared" si="23"/>
        <v>IMAGE (IMG)</v>
      </c>
      <c r="C159" s="7" t="s">
        <v>543</v>
      </c>
      <c r="D159" s="7" t="s">
        <v>544</v>
      </c>
      <c r="E159" s="7" t="s">
        <v>430</v>
      </c>
      <c r="F159" s="5">
        <v>4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7">
        <v>0</v>
      </c>
      <c r="AB159" s="7">
        <v>0</v>
      </c>
      <c r="AC159" s="7">
        <v>18</v>
      </c>
      <c r="AD159" s="7">
        <v>6</v>
      </c>
      <c r="AE159" s="7">
        <v>2</v>
      </c>
      <c r="AF159" s="7">
        <v>24</v>
      </c>
      <c r="AG159" s="7">
        <v>1</v>
      </c>
      <c r="AH159" s="7">
        <v>0</v>
      </c>
      <c r="AI159" s="7">
        <v>10</v>
      </c>
      <c r="AJ159" s="7" t="b">
        <v>0</v>
      </c>
      <c r="AK159" s="5" t="b">
        <v>0</v>
      </c>
      <c r="AL159" s="5" t="b">
        <v>1</v>
      </c>
      <c r="AM159" s="47" t="s">
        <v>683</v>
      </c>
      <c r="AN159" s="5">
        <v>1</v>
      </c>
      <c r="AO159" s="5">
        <v>12</v>
      </c>
      <c r="AP159" s="5" t="b">
        <v>1</v>
      </c>
      <c r="AQ159" s="47" t="s">
        <v>683</v>
      </c>
      <c r="AR159" s="5">
        <v>1</v>
      </c>
      <c r="AS159" s="7">
        <v>36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1</v>
      </c>
      <c r="AY159" s="47" t="s">
        <v>683</v>
      </c>
      <c r="AZ159" s="5">
        <v>1</v>
      </c>
      <c r="BA159" s="7">
        <v>36</v>
      </c>
      <c r="BB159" s="5">
        <v>4</v>
      </c>
      <c r="BC159" s="5">
        <v>4</v>
      </c>
      <c r="BD159" s="5">
        <v>1</v>
      </c>
      <c r="BE159" s="5">
        <v>1</v>
      </c>
      <c r="BF159" s="55" t="s">
        <v>682</v>
      </c>
      <c r="BJ159" s="37"/>
      <c r="BK159" s="5" t="s">
        <v>0</v>
      </c>
      <c r="BL159" s="7">
        <v>0</v>
      </c>
      <c r="BM159" s="5" t="b">
        <v>0</v>
      </c>
      <c r="BX159" s="7" t="s">
        <v>729</v>
      </c>
      <c r="CS159" s="31" t="str">
        <f t="shared" si="40"/>
        <v>.IMAGEIMG</v>
      </c>
    </row>
    <row r="160" spans="1:97">
      <c r="A160" s="38" t="str">
        <f>IF($D160="","",TRIM($C160)&amp;" "&amp;CHAR(40)&amp;TRIM($D160)&amp;CHAR(41))</f>
        <v>TABLE (TBL)</v>
      </c>
      <c r="C160" s="7" t="s">
        <v>545</v>
      </c>
      <c r="D160" s="7" t="s">
        <v>546</v>
      </c>
      <c r="E160" s="7" t="s">
        <v>430</v>
      </c>
      <c r="F160" s="5">
        <v>4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7">
        <v>0</v>
      </c>
      <c r="AB160" s="7">
        <v>0</v>
      </c>
      <c r="AC160" s="7">
        <v>18</v>
      </c>
      <c r="AD160" s="7">
        <v>6</v>
      </c>
      <c r="AE160" s="7">
        <v>2</v>
      </c>
      <c r="AF160" s="7">
        <v>24</v>
      </c>
      <c r="AG160" s="7">
        <v>1</v>
      </c>
      <c r="AH160" s="7">
        <v>0</v>
      </c>
      <c r="AI160" s="7">
        <v>10</v>
      </c>
      <c r="AJ160" s="7" t="b">
        <v>0</v>
      </c>
      <c r="AK160" s="5" t="b">
        <v>0</v>
      </c>
      <c r="AL160" s="5" t="b">
        <v>1</v>
      </c>
      <c r="AM160" s="47" t="s">
        <v>683</v>
      </c>
      <c r="AN160" s="5">
        <v>1</v>
      </c>
      <c r="AO160" s="5">
        <v>12</v>
      </c>
      <c r="AP160" s="5" t="b">
        <v>1</v>
      </c>
      <c r="AQ160" s="47" t="s">
        <v>683</v>
      </c>
      <c r="AR160" s="5">
        <v>1</v>
      </c>
      <c r="AS160" s="7">
        <v>36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1</v>
      </c>
      <c r="AY160" s="47" t="s">
        <v>683</v>
      </c>
      <c r="AZ160" s="5">
        <v>1</v>
      </c>
      <c r="BA160" s="7">
        <v>36</v>
      </c>
      <c r="BB160" s="5">
        <v>4</v>
      </c>
      <c r="BC160" s="5">
        <v>4</v>
      </c>
      <c r="BD160" s="5">
        <v>1</v>
      </c>
      <c r="BE160" s="5">
        <v>1</v>
      </c>
      <c r="BF160" s="55" t="s">
        <v>682</v>
      </c>
      <c r="BJ160" s="37"/>
      <c r="BK160" s="5" t="s">
        <v>0</v>
      </c>
      <c r="BL160" s="7">
        <v>0</v>
      </c>
      <c r="BM160" s="5" t="b">
        <v>0</v>
      </c>
      <c r="BX160" s="7" t="s">
        <v>730</v>
      </c>
      <c r="CS160" s="31" t="str">
        <f>"."&amp;SUBSTITUTE(SUBSTITUTE(SUBSTITUTE(SUBSTITUTE(A160, "(",""),")","")," ",""),"#","")</f>
        <v>.TABLETBL</v>
      </c>
    </row>
    <row r="161" spans="1:97">
      <c r="A161" s="38" t="str">
        <f t="shared" si="23"/>
        <v>RECIPE (REC)</v>
      </c>
      <c r="C161" s="7" t="s">
        <v>583</v>
      </c>
      <c r="D161" s="7" t="s">
        <v>584</v>
      </c>
      <c r="E161" s="7" t="s">
        <v>430</v>
      </c>
      <c r="F161" s="5">
        <v>4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7">
        <v>0</v>
      </c>
      <c r="AB161" s="7">
        <v>0</v>
      </c>
      <c r="AC161" s="7">
        <v>18</v>
      </c>
      <c r="AD161" s="7">
        <v>6</v>
      </c>
      <c r="AE161" s="7">
        <v>2</v>
      </c>
      <c r="AF161" s="7">
        <v>24</v>
      </c>
      <c r="AG161" s="7">
        <v>1</v>
      </c>
      <c r="AH161" s="7">
        <v>0</v>
      </c>
      <c r="AI161" s="7">
        <v>10</v>
      </c>
      <c r="AJ161" s="7" t="b">
        <v>0</v>
      </c>
      <c r="AK161" s="5" t="b">
        <v>0</v>
      </c>
      <c r="AL161" s="5" t="b">
        <v>1</v>
      </c>
      <c r="AM161" s="47" t="s">
        <v>683</v>
      </c>
      <c r="AN161" s="5">
        <v>1</v>
      </c>
      <c r="AO161" s="5">
        <v>12</v>
      </c>
      <c r="AP161" s="5" t="b">
        <v>1</v>
      </c>
      <c r="AQ161" s="47" t="s">
        <v>683</v>
      </c>
      <c r="AR161" s="5">
        <v>1</v>
      </c>
      <c r="AS161" s="7">
        <v>36</v>
      </c>
      <c r="AT161" s="5" t="b">
        <v>0</v>
      </c>
      <c r="AU161" s="6" t="s">
        <v>66</v>
      </c>
      <c r="AV161" s="5">
        <v>0</v>
      </c>
      <c r="AW161" s="5">
        <v>6</v>
      </c>
      <c r="AX161" s="5" t="b">
        <v>1</v>
      </c>
      <c r="AY161" s="47" t="s">
        <v>683</v>
      </c>
      <c r="AZ161" s="5">
        <v>1</v>
      </c>
      <c r="BA161" s="7">
        <v>36</v>
      </c>
      <c r="BB161" s="5">
        <v>4</v>
      </c>
      <c r="BC161" s="5">
        <v>4</v>
      </c>
      <c r="BD161" s="5">
        <v>1</v>
      </c>
      <c r="BE161" s="5">
        <v>1</v>
      </c>
      <c r="BF161" s="54" t="s">
        <v>684</v>
      </c>
      <c r="BJ161" s="37"/>
      <c r="BK161" s="5" t="s">
        <v>0</v>
      </c>
      <c r="BL161" s="7">
        <v>0</v>
      </c>
      <c r="BM161" s="5" t="b">
        <v>0</v>
      </c>
      <c r="BX161" s="7" t="s">
        <v>717</v>
      </c>
      <c r="CS161" s="31" t="str">
        <f t="shared" si="40"/>
        <v>.RECIPEREC</v>
      </c>
    </row>
    <row r="162" spans="1:97">
      <c r="A162" s="38" t="str">
        <f t="shared" si="23"/>
        <v>END (END)</v>
      </c>
      <c r="C162" s="7" t="s">
        <v>585</v>
      </c>
      <c r="D162" s="7" t="s">
        <v>585</v>
      </c>
      <c r="E162" s="7" t="s">
        <v>430</v>
      </c>
      <c r="F162" s="5">
        <v>5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66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7">
        <v>0</v>
      </c>
      <c r="AB162" s="7">
        <v>0</v>
      </c>
      <c r="AC162" s="7">
        <v>6</v>
      </c>
      <c r="AD162" s="7">
        <v>18</v>
      </c>
      <c r="AE162" s="7">
        <v>2</v>
      </c>
      <c r="AF162" s="7">
        <v>24</v>
      </c>
      <c r="AG162" s="7">
        <v>1</v>
      </c>
      <c r="AH162" s="7">
        <v>0</v>
      </c>
      <c r="AI162" s="7">
        <v>10</v>
      </c>
      <c r="AJ162" s="7" t="b">
        <v>0</v>
      </c>
      <c r="AK162" s="5" t="b">
        <v>0</v>
      </c>
      <c r="AL162" s="5" t="b">
        <v>0</v>
      </c>
      <c r="AM162" s="6" t="s">
        <v>66</v>
      </c>
      <c r="AN162" s="5">
        <v>0</v>
      </c>
      <c r="AO162" s="5">
        <v>6</v>
      </c>
      <c r="AP162" s="5" t="b">
        <v>1</v>
      </c>
      <c r="AQ162" s="25" t="s">
        <v>686</v>
      </c>
      <c r="AR162" s="5">
        <v>1</v>
      </c>
      <c r="AS162" s="5">
        <v>36</v>
      </c>
      <c r="AT162" s="46" t="b">
        <v>1</v>
      </c>
      <c r="AU162" s="25" t="s">
        <v>686</v>
      </c>
      <c r="AV162" s="5">
        <v>1</v>
      </c>
      <c r="AW162" s="5">
        <v>12</v>
      </c>
      <c r="AX162" s="5" t="b">
        <v>1</v>
      </c>
      <c r="AY162" s="25" t="s">
        <v>686</v>
      </c>
      <c r="AZ162" s="5">
        <v>1</v>
      </c>
      <c r="BA162" s="7">
        <v>36</v>
      </c>
      <c r="BB162" s="5">
        <v>4</v>
      </c>
      <c r="BC162" s="5">
        <v>4</v>
      </c>
      <c r="BD162" s="5">
        <v>1</v>
      </c>
      <c r="BE162" s="5">
        <v>1</v>
      </c>
      <c r="BF162" s="56" t="s">
        <v>685</v>
      </c>
      <c r="BJ162" s="37"/>
      <c r="BK162" s="5" t="s">
        <v>0</v>
      </c>
      <c r="BL162" s="7">
        <v>0</v>
      </c>
      <c r="BM162" s="5" t="b">
        <v>0</v>
      </c>
      <c r="BY162" s="7" t="b">
        <v>1</v>
      </c>
      <c r="CM162" s="7" t="b">
        <v>1</v>
      </c>
      <c r="CS162" s="31" t="str">
        <f t="shared" ref="CS162" si="41">"."&amp;SUBSTITUTE(SUBSTITUTE(SUBSTITUTE(SUBSTITUTE(A162, "(",""),")","")," ",""),"#","")</f>
        <v>.ENDEND</v>
      </c>
    </row>
    <row r="163" spans="1:97">
      <c r="A163" s="38" t="str">
        <f t="shared" si="23"/>
        <v>bold (b)</v>
      </c>
      <c r="C163" s="7" t="s">
        <v>404</v>
      </c>
      <c r="D163" s="7" t="s">
        <v>405</v>
      </c>
      <c r="E163" s="38" t="str">
        <f t="shared" ref="E163:E192" si="42">IF($D163="","",TRIM($C163)&amp;" "&amp;CHAR(40)&amp;TRIM($D163)&amp;CHAR(41))</f>
        <v>bold (b)</v>
      </c>
      <c r="F163" s="5">
        <v>7</v>
      </c>
      <c r="G163" s="7" t="b">
        <v>1</v>
      </c>
      <c r="H163" s="5">
        <v>2</v>
      </c>
      <c r="I163" s="5" t="s">
        <v>67</v>
      </c>
      <c r="J163" s="7">
        <v>12</v>
      </c>
      <c r="K163" s="7" t="b">
        <v>0</v>
      </c>
      <c r="L163" s="5" t="b">
        <v>1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/>
      <c r="Y163" s="5"/>
      <c r="Z163" s="5"/>
      <c r="BG163" s="6" t="s">
        <v>66</v>
      </c>
      <c r="BH163" s="5">
        <v>0</v>
      </c>
      <c r="BI163" s="5">
        <v>0</v>
      </c>
      <c r="BJ163" s="42" t="s">
        <v>675</v>
      </c>
      <c r="BK163" s="5" t="s">
        <v>70</v>
      </c>
      <c r="BL163" s="5"/>
      <c r="BM163" s="5" t="b">
        <v>0</v>
      </c>
      <c r="CS163" s="31" t="str">
        <f t="shared" ref="CS163:CS191" si="43">"."&amp;SUBSTITUTE(SUBSTITUTE(SUBSTITUTE(SUBSTITUTE(A163, "(",""),")","")," ",""),"#","")</f>
        <v>.boldb</v>
      </c>
    </row>
    <row r="164" spans="1:97">
      <c r="A164" s="38" t="str">
        <f t="shared" si="23"/>
        <v>ital (i)</v>
      </c>
      <c r="C164" s="7" t="s">
        <v>217</v>
      </c>
      <c r="D164" s="7" t="s">
        <v>406</v>
      </c>
      <c r="E164" s="38" t="str">
        <f t="shared" si="42"/>
        <v>ital (i)</v>
      </c>
      <c r="F164" s="5">
        <v>7</v>
      </c>
      <c r="G164" s="7" t="b">
        <v>1</v>
      </c>
      <c r="H164" s="5">
        <v>2</v>
      </c>
      <c r="I164" s="5" t="s">
        <v>67</v>
      </c>
      <c r="J164" s="7">
        <v>12</v>
      </c>
      <c r="K164" s="7" t="b">
        <v>1</v>
      </c>
      <c r="L164" s="5" t="b">
        <v>0</v>
      </c>
      <c r="M164" s="6" t="s">
        <v>66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/>
      <c r="Y164" s="5"/>
      <c r="Z164" s="5"/>
      <c r="BG164" s="6" t="s">
        <v>66</v>
      </c>
      <c r="BH164" s="5">
        <v>0</v>
      </c>
      <c r="BI164" s="5">
        <v>0</v>
      </c>
      <c r="BJ164" s="42" t="s">
        <v>675</v>
      </c>
      <c r="BK164" s="5" t="s">
        <v>70</v>
      </c>
      <c r="BL164" s="5"/>
      <c r="BM164" s="5" t="b">
        <v>0</v>
      </c>
      <c r="CS164" s="31" t="str">
        <f t="shared" si="43"/>
        <v>.itali</v>
      </c>
    </row>
    <row r="165" spans="1:97">
      <c r="A165" s="38" t="str">
        <f t="shared" si="23"/>
        <v>underline (u)</v>
      </c>
      <c r="C165" s="7" t="s">
        <v>407</v>
      </c>
      <c r="D165" s="7" t="s">
        <v>408</v>
      </c>
      <c r="E165" s="38" t="str">
        <f t="shared" si="42"/>
        <v>underline (u)</v>
      </c>
      <c r="F165" s="5">
        <v>7</v>
      </c>
      <c r="G165" s="7" t="b">
        <v>0</v>
      </c>
      <c r="H165" s="5">
        <v>2</v>
      </c>
      <c r="I165" s="5" t="s">
        <v>67</v>
      </c>
      <c r="J165" s="7">
        <v>12</v>
      </c>
      <c r="K165" s="5" t="b">
        <v>0</v>
      </c>
      <c r="L165" s="5" t="b">
        <v>0</v>
      </c>
      <c r="M165" s="6" t="s">
        <v>66</v>
      </c>
      <c r="N165" s="5" t="b">
        <v>1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/>
      <c r="Y165" s="5"/>
      <c r="Z165" s="5"/>
      <c r="BG165" s="6" t="s">
        <v>66</v>
      </c>
      <c r="BH165" s="5">
        <v>0</v>
      </c>
      <c r="BI165" s="5">
        <v>0</v>
      </c>
      <c r="BJ165" s="42" t="s">
        <v>675</v>
      </c>
      <c r="BK165" s="5" t="s">
        <v>70</v>
      </c>
      <c r="BL165" s="5"/>
      <c r="BM165" s="5" t="b">
        <v>0</v>
      </c>
      <c r="CS165" s="31" t="str">
        <f t="shared" si="43"/>
        <v>.underlineu</v>
      </c>
    </row>
    <row r="166" spans="1:97">
      <c r="A166" s="38" t="str">
        <f t="shared" si="23"/>
        <v>smallcaps (sc)</v>
      </c>
      <c r="C166" s="7" t="s">
        <v>409</v>
      </c>
      <c r="D166" s="7" t="s">
        <v>579</v>
      </c>
      <c r="E166" s="38" t="str">
        <f t="shared" si="42"/>
        <v>smallcaps (sc)</v>
      </c>
      <c r="F166" s="5">
        <v>7</v>
      </c>
      <c r="G166" s="7" t="b">
        <v>1</v>
      </c>
      <c r="H166" s="5">
        <v>2</v>
      </c>
      <c r="I166" s="5" t="s">
        <v>67</v>
      </c>
      <c r="J166" s="7">
        <v>12</v>
      </c>
      <c r="K166" s="5" t="b">
        <v>0</v>
      </c>
      <c r="L166" s="5" t="b">
        <v>0</v>
      </c>
      <c r="M166" s="6" t="s">
        <v>66</v>
      </c>
      <c r="N166" s="5" t="b">
        <v>0</v>
      </c>
      <c r="O166" s="5" t="b">
        <v>1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/>
      <c r="Y166" s="5"/>
      <c r="Z166" s="5"/>
      <c r="BG166" s="6" t="s">
        <v>66</v>
      </c>
      <c r="BH166" s="5">
        <v>0</v>
      </c>
      <c r="BI166" s="5">
        <v>0</v>
      </c>
      <c r="BJ166" s="42" t="s">
        <v>675</v>
      </c>
      <c r="BK166" s="5" t="s">
        <v>70</v>
      </c>
      <c r="BL166" s="5"/>
      <c r="BM166" s="5" t="b">
        <v>0</v>
      </c>
      <c r="CS166" s="31" t="str">
        <f t="shared" si="43"/>
        <v>.smallcapssc</v>
      </c>
    </row>
    <row r="167" spans="1:97">
      <c r="A167" s="38" t="str">
        <f t="shared" si="23"/>
        <v>super (sup)</v>
      </c>
      <c r="C167" s="7" t="s">
        <v>410</v>
      </c>
      <c r="D167" s="7" t="s">
        <v>580</v>
      </c>
      <c r="E167" s="38" t="str">
        <f t="shared" si="42"/>
        <v>super (sup)</v>
      </c>
      <c r="F167" s="5">
        <v>7</v>
      </c>
      <c r="G167" s="7" t="b">
        <v>0</v>
      </c>
      <c r="H167" s="5">
        <v>2</v>
      </c>
      <c r="I167" s="5" t="s">
        <v>67</v>
      </c>
      <c r="J167" s="7">
        <v>12</v>
      </c>
      <c r="K167" s="5" t="b">
        <v>0</v>
      </c>
      <c r="L167" s="5" t="b">
        <v>0</v>
      </c>
      <c r="M167" s="6" t="s">
        <v>66</v>
      </c>
      <c r="N167" s="5" t="b">
        <v>0</v>
      </c>
      <c r="O167" s="5" t="b">
        <v>0</v>
      </c>
      <c r="P167" s="5" t="b">
        <v>1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/>
      <c r="Y167" s="5"/>
      <c r="Z167" s="5"/>
      <c r="BG167" s="6" t="s">
        <v>66</v>
      </c>
      <c r="BH167" s="5">
        <v>0</v>
      </c>
      <c r="BI167" s="5">
        <v>0</v>
      </c>
      <c r="BJ167" s="42" t="s">
        <v>675</v>
      </c>
      <c r="BK167" s="5" t="s">
        <v>70</v>
      </c>
      <c r="BL167" s="5"/>
      <c r="BM167" s="5" t="b">
        <v>0</v>
      </c>
      <c r="CS167" s="31" t="str">
        <f t="shared" si="43"/>
        <v>.supersup</v>
      </c>
    </row>
    <row r="168" spans="1:97">
      <c r="A168" s="38" t="str">
        <f t="shared" si="23"/>
        <v>sub (sub)</v>
      </c>
      <c r="C168" s="7" t="s">
        <v>218</v>
      </c>
      <c r="D168" s="7" t="s">
        <v>218</v>
      </c>
      <c r="E168" s="38" t="str">
        <f t="shared" si="42"/>
        <v>sub (sub)</v>
      </c>
      <c r="F168" s="5">
        <v>7</v>
      </c>
      <c r="G168" s="7" t="b">
        <v>0</v>
      </c>
      <c r="H168" s="5">
        <v>2</v>
      </c>
      <c r="I168" s="5" t="s">
        <v>67</v>
      </c>
      <c r="J168" s="7">
        <v>12</v>
      </c>
      <c r="K168" s="5" t="b">
        <v>0</v>
      </c>
      <c r="L168" s="5" t="b">
        <v>0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1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/>
      <c r="Y168" s="5"/>
      <c r="Z168" s="5"/>
      <c r="BG168" s="6" t="s">
        <v>66</v>
      </c>
      <c r="BH168" s="5">
        <v>0</v>
      </c>
      <c r="BI168" s="5">
        <v>0</v>
      </c>
      <c r="BJ168" s="42" t="s">
        <v>675</v>
      </c>
      <c r="BK168" s="5" t="s">
        <v>70</v>
      </c>
      <c r="BL168" s="5"/>
      <c r="BM168" s="5" t="b">
        <v>0</v>
      </c>
      <c r="CS168" s="31" t="str">
        <f t="shared" si="43"/>
        <v>.subsub</v>
      </c>
    </row>
    <row r="169" spans="1:97">
      <c r="A169" s="38" t="str">
        <f t="shared" si="23"/>
        <v>strike (str)</v>
      </c>
      <c r="C169" s="7" t="s">
        <v>411</v>
      </c>
      <c r="D169" s="7" t="s">
        <v>581</v>
      </c>
      <c r="E169" s="38" t="str">
        <f t="shared" si="42"/>
        <v>strike (str)</v>
      </c>
      <c r="F169" s="5">
        <v>7</v>
      </c>
      <c r="G169" s="7" t="b">
        <v>0</v>
      </c>
      <c r="H169" s="5">
        <v>2</v>
      </c>
      <c r="I169" s="5" t="s">
        <v>67</v>
      </c>
      <c r="J169" s="7">
        <v>12</v>
      </c>
      <c r="K169" s="5" t="b">
        <v>0</v>
      </c>
      <c r="L169" s="5" t="b">
        <v>0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1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BG169" s="6" t="s">
        <v>66</v>
      </c>
      <c r="BH169" s="5">
        <v>0</v>
      </c>
      <c r="BI169" s="5">
        <v>0</v>
      </c>
      <c r="BJ169" s="42" t="s">
        <v>675</v>
      </c>
      <c r="BK169" s="5" t="s">
        <v>70</v>
      </c>
      <c r="BL169" s="5"/>
      <c r="BM169" s="5" t="b">
        <v>0</v>
      </c>
      <c r="CS169" s="31" t="str">
        <f t="shared" si="43"/>
        <v>.strikestr</v>
      </c>
    </row>
    <row r="170" spans="1:97">
      <c r="A170" s="38" t="str">
        <f t="shared" si="23"/>
        <v>bold-ital (bi)</v>
      </c>
      <c r="C170" s="7" t="s">
        <v>711</v>
      </c>
      <c r="D170" s="7" t="s">
        <v>689</v>
      </c>
      <c r="E170" s="38" t="str">
        <f t="shared" si="42"/>
        <v>bold-ital (bi)</v>
      </c>
      <c r="F170" s="5">
        <v>7</v>
      </c>
      <c r="G170" s="7" t="b">
        <v>0</v>
      </c>
      <c r="H170" s="5">
        <v>2</v>
      </c>
      <c r="I170" s="5" t="s">
        <v>67</v>
      </c>
      <c r="J170" s="7">
        <v>12</v>
      </c>
      <c r="K170" s="7" t="b">
        <v>1</v>
      </c>
      <c r="L170" s="5" t="b">
        <v>1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42" t="s">
        <v>675</v>
      </c>
      <c r="BK170" s="5" t="s">
        <v>70</v>
      </c>
      <c r="BL170" s="5"/>
      <c r="BM170" s="5" t="b">
        <v>0</v>
      </c>
      <c r="CS170" s="31" t="str">
        <f t="shared" ref="CS170" si="44">"."&amp;SUBSTITUTE(SUBSTITUTE(SUBSTITUTE(SUBSTITUTE(A170, "(",""),")","")," ",""),"#","")</f>
        <v>.bold-italbi</v>
      </c>
    </row>
    <row r="171" spans="1:97">
      <c r="A171" s="38" t="str">
        <f>IF($D171="","",TRIM($C171)&amp;" "&amp;CHAR(40)&amp;TRIM($D171)&amp;CHAR(41))</f>
        <v>smallcaps-ital (sci)</v>
      </c>
      <c r="C171" s="7" t="s">
        <v>694</v>
      </c>
      <c r="D171" s="7" t="s">
        <v>690</v>
      </c>
      <c r="E171" s="38" t="str">
        <f>IF($D171="","",TRIM($C171)&amp;" "&amp;CHAR(40)&amp;TRIM($D171)&amp;CHAR(41))</f>
        <v>smallcaps-ital (sci)</v>
      </c>
      <c r="F171" s="5">
        <v>7</v>
      </c>
      <c r="G171" s="7" t="b">
        <v>0</v>
      </c>
      <c r="H171" s="5">
        <v>2</v>
      </c>
      <c r="I171" s="5" t="s">
        <v>67</v>
      </c>
      <c r="J171" s="7">
        <v>12</v>
      </c>
      <c r="K171" s="7" t="b">
        <v>1</v>
      </c>
      <c r="L171" s="7" t="b">
        <v>0</v>
      </c>
      <c r="M171" s="6" t="s">
        <v>66</v>
      </c>
      <c r="N171" s="5" t="b">
        <v>0</v>
      </c>
      <c r="O171" s="7" t="b">
        <v>1</v>
      </c>
      <c r="P171" s="7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BG171" s="6" t="s">
        <v>66</v>
      </c>
      <c r="BH171" s="5">
        <v>0</v>
      </c>
      <c r="BI171" s="5">
        <v>0</v>
      </c>
      <c r="BJ171" s="42" t="s">
        <v>675</v>
      </c>
      <c r="BK171" s="5" t="s">
        <v>70</v>
      </c>
      <c r="BM171" s="5" t="b">
        <v>0</v>
      </c>
      <c r="CS171" s="31" t="str">
        <f>"."&amp;SUBSTITUTE(SUBSTITUTE(SUBSTITUTE(SUBSTITUTE(A171, "(",""),")","")," ",""),"#","")</f>
        <v>.smallcaps-italsci</v>
      </c>
    </row>
    <row r="172" spans="1:97">
      <c r="A172" s="38" t="str">
        <f>IF($D172="","",TRIM($C172)&amp;" "&amp;CHAR(40)&amp;TRIM($D172)&amp;CHAR(41))</f>
        <v>smallcaps-bold (scb)</v>
      </c>
      <c r="C172" s="7" t="s">
        <v>692</v>
      </c>
      <c r="D172" s="7" t="s">
        <v>693</v>
      </c>
      <c r="E172" s="38" t="str">
        <f>IF($D172="","",TRIM($C172)&amp;" "&amp;CHAR(40)&amp;TRIM($D172)&amp;CHAR(41))</f>
        <v>smallcaps-bold (scb)</v>
      </c>
      <c r="F172" s="5">
        <v>7</v>
      </c>
      <c r="G172" s="7" t="b">
        <v>0</v>
      </c>
      <c r="H172" s="5">
        <v>2</v>
      </c>
      <c r="I172" s="5" t="s">
        <v>67</v>
      </c>
      <c r="J172" s="7">
        <v>12</v>
      </c>
      <c r="K172" s="7" t="b">
        <v>0</v>
      </c>
      <c r="L172" s="7" t="b">
        <v>1</v>
      </c>
      <c r="M172" s="6" t="s">
        <v>66</v>
      </c>
      <c r="N172" s="5" t="b">
        <v>0</v>
      </c>
      <c r="O172" s="7" t="b">
        <v>1</v>
      </c>
      <c r="P172" s="7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BG172" s="6" t="s">
        <v>66</v>
      </c>
      <c r="BH172" s="5">
        <v>0</v>
      </c>
      <c r="BI172" s="5">
        <v>0</v>
      </c>
      <c r="BJ172" s="42" t="s">
        <v>675</v>
      </c>
      <c r="BK172" s="5" t="s">
        <v>70</v>
      </c>
      <c r="BM172" s="5" t="b">
        <v>0</v>
      </c>
      <c r="CS172" s="31" t="str">
        <f>"."&amp;SUBSTITUTE(SUBSTITUTE(SUBSTITUTE(SUBSTITUTE(A172, "(",""),")","")," ",""),"#","")</f>
        <v>.smallcaps-boldscb</v>
      </c>
    </row>
    <row r="173" spans="1:97">
      <c r="A173" s="38" t="str">
        <f>IF($D173="","",TRIM($C173)&amp;" "&amp;CHAR(40)&amp;TRIM($D173)&amp;CHAR(41))</f>
        <v>smallcaps-bold-ital (scbi)</v>
      </c>
      <c r="C173" s="7" t="s">
        <v>695</v>
      </c>
      <c r="D173" s="7" t="s">
        <v>696</v>
      </c>
      <c r="E173" s="38" t="str">
        <f>IF($D173="","",TRIM($C173)&amp;" "&amp;CHAR(40)&amp;TRIM($D173)&amp;CHAR(41))</f>
        <v>smallcaps-bold-ital (scbi)</v>
      </c>
      <c r="F173" s="5">
        <v>7</v>
      </c>
      <c r="G173" s="7" t="b">
        <v>0</v>
      </c>
      <c r="H173" s="5">
        <v>2</v>
      </c>
      <c r="I173" s="5" t="s">
        <v>67</v>
      </c>
      <c r="J173" s="7">
        <v>12</v>
      </c>
      <c r="K173" s="7" t="b">
        <v>1</v>
      </c>
      <c r="L173" s="7" t="b">
        <v>1</v>
      </c>
      <c r="M173" s="6" t="s">
        <v>66</v>
      </c>
      <c r="N173" s="5" t="b">
        <v>0</v>
      </c>
      <c r="O173" s="7" t="b">
        <v>1</v>
      </c>
      <c r="P173" s="7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BG173" s="6" t="s">
        <v>66</v>
      </c>
      <c r="BH173" s="5">
        <v>0</v>
      </c>
      <c r="BI173" s="5">
        <v>0</v>
      </c>
      <c r="BJ173" s="42" t="s">
        <v>675</v>
      </c>
      <c r="BK173" s="5" t="s">
        <v>70</v>
      </c>
      <c r="BM173" s="5" t="b">
        <v>0</v>
      </c>
      <c r="CS173" s="31" t="str">
        <f>"."&amp;SUBSTITUTE(SUBSTITUTE(SUBSTITUTE(SUBSTITUTE(A173, "(",""),")","")," ",""),"#","")</f>
        <v>.smallcaps-bold-italscbi</v>
      </c>
    </row>
    <row r="174" spans="1:97">
      <c r="A174" s="38" t="str">
        <f>IF($D174="","",TRIM($C174)&amp;" "&amp;CHAR(40)&amp;TRIM($D174)&amp;CHAR(41))</f>
        <v>super-ital (supi)</v>
      </c>
      <c r="C174" s="7" t="s">
        <v>700</v>
      </c>
      <c r="D174" s="7" t="s">
        <v>691</v>
      </c>
      <c r="E174" s="38" t="str">
        <f>IF($D174="","",TRIM($C174)&amp;" "&amp;CHAR(40)&amp;TRIM($D174)&amp;CHAR(41))</f>
        <v>super-ital (supi)</v>
      </c>
      <c r="F174" s="5">
        <v>7</v>
      </c>
      <c r="G174" s="7" t="b">
        <v>0</v>
      </c>
      <c r="H174" s="5">
        <v>2</v>
      </c>
      <c r="I174" s="5" t="s">
        <v>67</v>
      </c>
      <c r="J174" s="7">
        <v>12</v>
      </c>
      <c r="K174" s="7" t="b">
        <v>1</v>
      </c>
      <c r="L174" s="7" t="b">
        <v>0</v>
      </c>
      <c r="M174" s="6" t="s">
        <v>66</v>
      </c>
      <c r="N174" s="5" t="b">
        <v>0</v>
      </c>
      <c r="O174" s="7" t="b">
        <v>0</v>
      </c>
      <c r="P174" s="7" t="b">
        <v>1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BG174" s="6" t="s">
        <v>66</v>
      </c>
      <c r="BH174" s="5">
        <v>0</v>
      </c>
      <c r="BI174" s="5">
        <v>0</v>
      </c>
      <c r="BJ174" s="42" t="s">
        <v>675</v>
      </c>
      <c r="BK174" s="5" t="s">
        <v>70</v>
      </c>
      <c r="BM174" s="5" t="b">
        <v>0</v>
      </c>
      <c r="CS174" s="31" t="str">
        <f>"."&amp;SUBSTITUTE(SUBSTITUTE(SUBSTITUTE(SUBSTITUTE(A174, "(",""),")","")," ",""),"#","")</f>
        <v>.super-italsupi</v>
      </c>
    </row>
    <row r="175" spans="1:97">
      <c r="A175" s="38" t="str">
        <f t="shared" si="23"/>
        <v>cstyle1 (cs1)</v>
      </c>
      <c r="C175" s="7" t="s">
        <v>551</v>
      </c>
      <c r="D175" s="7" t="s">
        <v>552</v>
      </c>
      <c r="E175" s="38" t="str">
        <f t="shared" si="42"/>
        <v>cstyle1 (cs1)</v>
      </c>
      <c r="F175" s="5">
        <v>7</v>
      </c>
      <c r="G175" s="7" t="b">
        <v>0</v>
      </c>
      <c r="H175" s="5">
        <v>2</v>
      </c>
      <c r="I175" s="5" t="s">
        <v>67</v>
      </c>
      <c r="J175" s="7">
        <v>12</v>
      </c>
      <c r="K175" s="5" t="b">
        <v>0</v>
      </c>
      <c r="L175" s="5" t="b">
        <v>0</v>
      </c>
      <c r="M175" s="6" t="s">
        <v>66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42" t="s">
        <v>675</v>
      </c>
      <c r="BK175" s="5" t="s">
        <v>70</v>
      </c>
      <c r="BL175" s="5"/>
      <c r="BM175" s="5" t="b">
        <v>0</v>
      </c>
      <c r="CS175" s="31" t="str">
        <f t="shared" si="43"/>
        <v>.cstyle1cs1</v>
      </c>
    </row>
    <row r="176" spans="1:97">
      <c r="A176" s="38" t="str">
        <f>IF($D176="","",TRIM($C176)&amp;" "&amp;CHAR(40)&amp;TRIM($D176)&amp;CHAR(41))</f>
        <v>cstyle2 (cs2)</v>
      </c>
      <c r="C176" s="7" t="s">
        <v>553</v>
      </c>
      <c r="D176" s="7" t="s">
        <v>554</v>
      </c>
      <c r="E176" s="38" t="str">
        <f t="shared" si="42"/>
        <v>cstyle2 (cs2)</v>
      </c>
      <c r="F176" s="5">
        <v>7</v>
      </c>
      <c r="G176" s="7" t="b">
        <v>0</v>
      </c>
      <c r="H176" s="5">
        <v>2</v>
      </c>
      <c r="I176" s="5" t="s">
        <v>67</v>
      </c>
      <c r="J176" s="7">
        <v>12</v>
      </c>
      <c r="K176" s="5" t="b">
        <v>0</v>
      </c>
      <c r="L176" s="5" t="b">
        <v>0</v>
      </c>
      <c r="M176" s="6" t="s">
        <v>66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42" t="s">
        <v>675</v>
      </c>
      <c r="BK176" s="5" t="s">
        <v>70</v>
      </c>
      <c r="BL176" s="5"/>
      <c r="BM176" s="5" t="b">
        <v>0</v>
      </c>
      <c r="CS176" s="31" t="str">
        <f t="shared" ref="CS176" si="45">"."&amp;SUBSTITUTE(SUBSTITUTE(SUBSTITUTE(SUBSTITUTE(A176, "(",""),")","")," ",""),"#","")</f>
        <v>.cstyle2cs2</v>
      </c>
    </row>
    <row r="177" spans="1:97">
      <c r="A177" s="38" t="str">
        <f t="shared" si="23"/>
        <v>cs-head (cshd)</v>
      </c>
      <c r="C177" s="7" t="s">
        <v>412</v>
      </c>
      <c r="D177" s="7" t="s">
        <v>681</v>
      </c>
      <c r="E177" s="38" t="str">
        <f t="shared" si="42"/>
        <v>cs-head (cshd)</v>
      </c>
      <c r="F177" s="5">
        <v>7</v>
      </c>
      <c r="G177" s="7" t="b">
        <v>0</v>
      </c>
      <c r="H177" s="5">
        <v>2</v>
      </c>
      <c r="I177" s="5" t="s">
        <v>2</v>
      </c>
      <c r="J177" s="7">
        <v>12</v>
      </c>
      <c r="K177" s="5" t="b">
        <v>0</v>
      </c>
      <c r="L177" s="5" t="b">
        <v>0</v>
      </c>
      <c r="M177" s="6" t="s">
        <v>66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BG177" s="6" t="s">
        <v>66</v>
      </c>
      <c r="BH177" s="5">
        <v>0</v>
      </c>
      <c r="BI177" s="5">
        <v>0</v>
      </c>
      <c r="BJ177" s="45" t="s">
        <v>679</v>
      </c>
      <c r="BK177" s="5" t="s">
        <v>70</v>
      </c>
      <c r="BL177" s="5"/>
      <c r="BM177" s="5" t="b">
        <v>0</v>
      </c>
      <c r="CS177" s="31" t="str">
        <f t="shared" si="43"/>
        <v>.cs-headcshd</v>
      </c>
    </row>
    <row r="178" spans="1:97">
      <c r="A178" s="38" t="str">
        <f t="shared" si="23"/>
        <v>cs-speaker (csp)</v>
      </c>
      <c r="C178" s="7" t="s">
        <v>413</v>
      </c>
      <c r="D178" s="7" t="s">
        <v>414</v>
      </c>
      <c r="E178" s="38" t="str">
        <f t="shared" si="42"/>
        <v>cs-speaker (csp)</v>
      </c>
      <c r="F178" s="5">
        <v>7</v>
      </c>
      <c r="G178" s="7" t="b">
        <v>0</v>
      </c>
      <c r="H178" s="5">
        <v>2</v>
      </c>
      <c r="I178" s="5" t="s">
        <v>2</v>
      </c>
      <c r="J178" s="7">
        <v>12</v>
      </c>
      <c r="K178" s="5" t="b">
        <v>0</v>
      </c>
      <c r="L178" s="5" t="b">
        <v>0</v>
      </c>
      <c r="M178" s="6" t="s">
        <v>66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BG178" s="6" t="s">
        <v>66</v>
      </c>
      <c r="BH178" s="5">
        <v>0</v>
      </c>
      <c r="BI178" s="5">
        <v>0</v>
      </c>
      <c r="BJ178" s="45" t="s">
        <v>679</v>
      </c>
      <c r="BK178" s="5" t="s">
        <v>70</v>
      </c>
      <c r="BL178" s="5"/>
      <c r="BM178" s="5" t="b">
        <v>0</v>
      </c>
      <c r="CS178" s="31" t="str">
        <f t="shared" si="43"/>
        <v>.cs-speakercsp</v>
      </c>
    </row>
    <row r="179" spans="1:97">
      <c r="A179" s="38" t="str">
        <f t="shared" si="23"/>
        <v>cs-text-message (ctm)</v>
      </c>
      <c r="C179" s="7" t="s">
        <v>415</v>
      </c>
      <c r="D179" s="7" t="s">
        <v>416</v>
      </c>
      <c r="E179" s="38" t="str">
        <f t="shared" si="42"/>
        <v>cs-text-message (ctm)</v>
      </c>
      <c r="F179" s="5">
        <v>7</v>
      </c>
      <c r="G179" s="7" t="b">
        <v>0</v>
      </c>
      <c r="H179" s="5">
        <v>2</v>
      </c>
      <c r="I179" s="5" t="s">
        <v>72</v>
      </c>
      <c r="J179" s="7">
        <v>12</v>
      </c>
      <c r="K179" s="5" t="b">
        <v>0</v>
      </c>
      <c r="L179" s="5" t="b">
        <v>0</v>
      </c>
      <c r="M179" s="6" t="s">
        <v>66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BG179" s="6" t="s">
        <v>66</v>
      </c>
      <c r="BH179" s="5">
        <v>0</v>
      </c>
      <c r="BI179" s="5">
        <v>0</v>
      </c>
      <c r="BJ179" s="45" t="s">
        <v>679</v>
      </c>
      <c r="BK179" s="5" t="s">
        <v>70</v>
      </c>
      <c r="BL179" s="5"/>
      <c r="BM179" s="5" t="b">
        <v>0</v>
      </c>
      <c r="CS179" s="31" t="str">
        <f t="shared" si="43"/>
        <v>.cs-text-messagectm</v>
      </c>
    </row>
    <row r="180" spans="1:97">
      <c r="A180" s="38" t="str">
        <f t="shared" si="23"/>
        <v>cs-computer (ccom)</v>
      </c>
      <c r="C180" s="7" t="s">
        <v>566</v>
      </c>
      <c r="D180" s="7" t="s">
        <v>555</v>
      </c>
      <c r="E180" s="38" t="str">
        <f t="shared" si="42"/>
        <v>cs-computer (ccom)</v>
      </c>
      <c r="F180" s="5">
        <v>7</v>
      </c>
      <c r="G180" s="7" t="b">
        <v>0</v>
      </c>
      <c r="H180" s="5">
        <v>2</v>
      </c>
      <c r="I180" s="5" t="s">
        <v>72</v>
      </c>
      <c r="J180" s="7">
        <v>12</v>
      </c>
      <c r="K180" s="5" t="b">
        <v>0</v>
      </c>
      <c r="L180" s="5" t="b">
        <v>0</v>
      </c>
      <c r="M180" s="6" t="s">
        <v>66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BG180" s="6" t="s">
        <v>66</v>
      </c>
      <c r="BH180" s="5">
        <v>0</v>
      </c>
      <c r="BI180" s="5">
        <v>0</v>
      </c>
      <c r="BJ180" s="45" t="s">
        <v>679</v>
      </c>
      <c r="BK180" s="5" t="s">
        <v>70</v>
      </c>
      <c r="BL180" s="5"/>
      <c r="BM180" s="5" t="b">
        <v>0</v>
      </c>
      <c r="CS180" s="31" t="str">
        <f t="shared" ref="CS180" si="46">"."&amp;SUBSTITUTE(SUBSTITUTE(SUBSTITUTE(SUBSTITUTE(A180, "(",""),")","")," ",""),"#","")</f>
        <v>.cs-computerccom</v>
      </c>
    </row>
    <row r="181" spans="1:97">
      <c r="A181" s="38" t="str">
        <f t="shared" si="23"/>
        <v>cs-design-note (cdn)</v>
      </c>
      <c r="C181" s="7" t="s">
        <v>417</v>
      </c>
      <c r="D181" s="7" t="s">
        <v>418</v>
      </c>
      <c r="E181" s="38" t="str">
        <f t="shared" si="42"/>
        <v>cs-design-note (cdn)</v>
      </c>
      <c r="F181" s="5">
        <v>7</v>
      </c>
      <c r="G181" s="7" t="b">
        <v>0</v>
      </c>
      <c r="H181" s="5">
        <v>2</v>
      </c>
      <c r="I181" s="5" t="s">
        <v>1</v>
      </c>
      <c r="J181" s="7">
        <v>12</v>
      </c>
      <c r="K181" s="5" t="b">
        <v>0</v>
      </c>
      <c r="L181" s="5" t="b">
        <v>0</v>
      </c>
      <c r="M181" s="6" t="s">
        <v>66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BG181" s="6" t="s">
        <v>66</v>
      </c>
      <c r="BH181" s="5">
        <v>0</v>
      </c>
      <c r="BI181" s="5">
        <v>0</v>
      </c>
      <c r="BJ181" s="41" t="s">
        <v>71</v>
      </c>
      <c r="BK181" s="5" t="s">
        <v>70</v>
      </c>
      <c r="BL181" s="5"/>
      <c r="BM181" s="5" t="b">
        <v>0</v>
      </c>
      <c r="CS181" s="31" t="str">
        <f t="shared" si="43"/>
        <v>.cs-design-notecdn</v>
      </c>
    </row>
    <row r="182" spans="1:97">
      <c r="A182" s="38" t="str">
        <f t="shared" si="23"/>
        <v>cs-image-placement (cimg)</v>
      </c>
      <c r="C182" s="7" t="s">
        <v>419</v>
      </c>
      <c r="D182" s="7" t="s">
        <v>582</v>
      </c>
      <c r="E182" s="38" t="str">
        <f t="shared" si="42"/>
        <v>cs-image-placement (cimg)</v>
      </c>
      <c r="F182" s="5">
        <v>7</v>
      </c>
      <c r="G182" s="7" t="b">
        <v>0</v>
      </c>
      <c r="H182" s="5">
        <v>2</v>
      </c>
      <c r="I182" s="5" t="s">
        <v>1</v>
      </c>
      <c r="J182" s="7">
        <v>12</v>
      </c>
      <c r="K182" s="5" t="b">
        <v>0</v>
      </c>
      <c r="L182" s="5" t="b">
        <v>0</v>
      </c>
      <c r="M182" s="6" t="s">
        <v>66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41" t="s">
        <v>71</v>
      </c>
      <c r="BK182" s="5" t="s">
        <v>70</v>
      </c>
      <c r="BL182" s="5"/>
      <c r="BM182" s="5" t="b">
        <v>0</v>
      </c>
      <c r="CS182" s="31" t="str">
        <f t="shared" si="43"/>
        <v>.cs-image-placementcimg</v>
      </c>
    </row>
    <row r="183" spans="1:97">
      <c r="A183" s="38" t="str">
        <f t="shared" si="23"/>
        <v>symbols (sym)</v>
      </c>
      <c r="C183" s="7" t="s">
        <v>701</v>
      </c>
      <c r="D183" s="7" t="s">
        <v>702</v>
      </c>
      <c r="E183" s="38" t="str">
        <f t="shared" si="42"/>
        <v>symbols (sym)</v>
      </c>
      <c r="F183" s="5">
        <v>7</v>
      </c>
      <c r="G183" s="7" t="b">
        <v>0</v>
      </c>
      <c r="H183" s="5">
        <v>2</v>
      </c>
      <c r="I183" s="5" t="s">
        <v>67</v>
      </c>
      <c r="J183" s="7">
        <v>12</v>
      </c>
      <c r="K183" s="5" t="b">
        <v>0</v>
      </c>
      <c r="L183" s="5" t="b">
        <v>0</v>
      </c>
      <c r="M183" s="6" t="s">
        <v>66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BG183" s="6" t="s">
        <v>66</v>
      </c>
      <c r="BH183" s="5">
        <v>0</v>
      </c>
      <c r="BI183" s="5">
        <v>0</v>
      </c>
      <c r="BJ183" s="43" t="s">
        <v>677</v>
      </c>
      <c r="BK183" s="5" t="s">
        <v>70</v>
      </c>
      <c r="BL183" s="5"/>
      <c r="BM183" s="5" t="b">
        <v>0</v>
      </c>
      <c r="CS183" s="31" t="str">
        <f t="shared" si="43"/>
        <v>.symbolssym</v>
      </c>
    </row>
    <row r="184" spans="1:97">
      <c r="A184" s="38" t="str">
        <f>IF($D184="","",TRIM($C184)&amp;" "&amp;CHAR(40)&amp;TRIM($D184)&amp;CHAR(41))</f>
        <v>symbols-ital (symi)</v>
      </c>
      <c r="C184" s="7" t="s">
        <v>698</v>
      </c>
      <c r="D184" s="7" t="s">
        <v>699</v>
      </c>
      <c r="E184" s="38" t="str">
        <f>IF($D184="","",TRIM($C184)&amp;" "&amp;CHAR(40)&amp;TRIM($D184)&amp;CHAR(41))</f>
        <v>symbols-ital (symi)</v>
      </c>
      <c r="F184" s="5">
        <v>7</v>
      </c>
      <c r="G184" s="7" t="b">
        <v>0</v>
      </c>
      <c r="H184" s="5">
        <v>2</v>
      </c>
      <c r="I184" s="5" t="s">
        <v>67</v>
      </c>
      <c r="J184" s="7">
        <v>12</v>
      </c>
      <c r="K184" s="7" t="b">
        <v>1</v>
      </c>
      <c r="L184" s="7" t="b">
        <v>0</v>
      </c>
      <c r="M184" s="6" t="s">
        <v>66</v>
      </c>
      <c r="N184" s="5" t="b">
        <v>0</v>
      </c>
      <c r="O184" s="7" t="b">
        <v>0</v>
      </c>
      <c r="P184" s="7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BG184" s="6" t="s">
        <v>66</v>
      </c>
      <c r="BH184" s="5">
        <v>0</v>
      </c>
      <c r="BI184" s="5">
        <v>0</v>
      </c>
      <c r="BJ184" s="43" t="s">
        <v>677</v>
      </c>
      <c r="BK184" s="5" t="s">
        <v>70</v>
      </c>
      <c r="BM184" s="5" t="b">
        <v>0</v>
      </c>
      <c r="CS184" s="31" t="str">
        <f>"."&amp;SUBSTITUTE(SUBSTITUTE(SUBSTITUTE(SUBSTITUTE(A184, "(",""),")","")," ",""),"#","")</f>
        <v>.symbols-italsymi</v>
      </c>
    </row>
    <row r="185" spans="1:97">
      <c r="A185" s="38" t="str">
        <f t="shared" si="23"/>
        <v>cross-reference (xref)</v>
      </c>
      <c r="C185" s="7" t="s">
        <v>420</v>
      </c>
      <c r="D185" s="7" t="s">
        <v>216</v>
      </c>
      <c r="E185" s="38" t="str">
        <f t="shared" si="42"/>
        <v>cross-reference (xref)</v>
      </c>
      <c r="F185" s="5">
        <v>7</v>
      </c>
      <c r="G185" s="7" t="b">
        <v>0</v>
      </c>
      <c r="H185" s="5">
        <v>2</v>
      </c>
      <c r="I185" s="5" t="s">
        <v>67</v>
      </c>
      <c r="J185" s="7">
        <v>12</v>
      </c>
      <c r="K185" s="5" t="b">
        <v>0</v>
      </c>
      <c r="L185" s="5" t="b">
        <v>0</v>
      </c>
      <c r="M185" s="6" t="s">
        <v>66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X185" s="5"/>
      <c r="Y185" s="5"/>
      <c r="Z185" s="5"/>
      <c r="BG185" s="6" t="s">
        <v>66</v>
      </c>
      <c r="BH185" s="5">
        <v>0</v>
      </c>
      <c r="BI185" s="5">
        <v>0</v>
      </c>
      <c r="BJ185" s="57" t="s">
        <v>676</v>
      </c>
      <c r="BK185" s="5" t="s">
        <v>70</v>
      </c>
      <c r="BL185" s="5"/>
      <c r="BM185" s="5" t="b">
        <v>0</v>
      </c>
      <c r="CS185" s="31" t="str">
        <f t="shared" si="43"/>
        <v>.cross-referencexref</v>
      </c>
    </row>
    <row r="186" spans="1:97">
      <c r="A186" s="38" t="str">
        <f>IF($D186="","",TRIM($C186)&amp;" "&amp;CHAR(40)&amp;TRIM($D186)&amp;CHAR(41))</f>
        <v>redacted-text (red)</v>
      </c>
      <c r="C186" s="7" t="s">
        <v>556</v>
      </c>
      <c r="D186" s="7" t="s">
        <v>557</v>
      </c>
      <c r="E186" s="38" t="s">
        <v>558</v>
      </c>
      <c r="F186" s="5">
        <v>7</v>
      </c>
      <c r="G186" s="7" t="b">
        <v>0</v>
      </c>
      <c r="H186" s="5">
        <v>2</v>
      </c>
      <c r="I186" s="5" t="s">
        <v>67</v>
      </c>
      <c r="J186" s="7">
        <v>12</v>
      </c>
      <c r="K186" s="5" t="b">
        <v>0</v>
      </c>
      <c r="L186" s="5" t="b">
        <v>1</v>
      </c>
      <c r="M186" s="6" t="s">
        <v>66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BG186" s="6" t="s">
        <v>66</v>
      </c>
      <c r="BH186" s="5">
        <v>0</v>
      </c>
      <c r="BI186" s="5">
        <v>0</v>
      </c>
      <c r="BJ186" s="45" t="s">
        <v>679</v>
      </c>
      <c r="BK186" s="5" t="s">
        <v>70</v>
      </c>
      <c r="BL186" s="5"/>
      <c r="BM186" s="5" t="b">
        <v>0</v>
      </c>
      <c r="CS186" s="31" t="str">
        <f t="shared" ref="CS186:CS187" si="47">"."&amp;SUBSTITUTE(SUBSTITUTE(SUBSTITUTE(SUBSTITUTE(A186, "(",""),")","")," ",""),"#","")</f>
        <v>.redacted-textred</v>
      </c>
    </row>
    <row r="187" spans="1:97">
      <c r="A187" s="38" t="str">
        <f>IF($D187="","",TRIM($C187)&amp;" "&amp;CHAR(40)&amp;TRIM($D187)&amp;CHAR(41))</f>
        <v>keyphrase (kp)</v>
      </c>
      <c r="C187" s="7" t="s">
        <v>559</v>
      </c>
      <c r="D187" s="7" t="s">
        <v>560</v>
      </c>
      <c r="E187" s="38" t="s">
        <v>561</v>
      </c>
      <c r="F187" s="5">
        <v>7</v>
      </c>
      <c r="G187" s="7" t="b">
        <v>0</v>
      </c>
      <c r="H187" s="5">
        <v>2</v>
      </c>
      <c r="I187" s="5" t="s">
        <v>67</v>
      </c>
      <c r="J187" s="7">
        <v>12</v>
      </c>
      <c r="K187" s="5" t="b">
        <v>0</v>
      </c>
      <c r="L187" s="5" t="b">
        <v>0</v>
      </c>
      <c r="M187" s="6" t="s">
        <v>66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BG187" s="6" t="s">
        <v>66</v>
      </c>
      <c r="BH187" s="5">
        <v>0</v>
      </c>
      <c r="BI187" s="5">
        <v>0</v>
      </c>
      <c r="BJ187" s="57" t="s">
        <v>676</v>
      </c>
      <c r="BK187" s="5" t="s">
        <v>70</v>
      </c>
      <c r="BL187" s="5"/>
      <c r="BM187" s="5" t="b">
        <v>0</v>
      </c>
      <c r="CS187" s="31" t="str">
        <f t="shared" si="47"/>
        <v>.keyphrasekp</v>
      </c>
    </row>
    <row r="188" spans="1:97">
      <c r="A188" s="38" t="str">
        <f t="shared" si="23"/>
        <v>cs-cleanup-exclude (cex)</v>
      </c>
      <c r="C188" s="7" t="s">
        <v>421</v>
      </c>
      <c r="D188" s="7" t="s">
        <v>422</v>
      </c>
      <c r="E188" s="38" t="str">
        <f t="shared" si="42"/>
        <v>cs-cleanup-exclude (cex)</v>
      </c>
      <c r="F188" s="5">
        <v>7</v>
      </c>
      <c r="G188" s="7" t="b">
        <v>0</v>
      </c>
      <c r="H188" s="5">
        <v>2</v>
      </c>
      <c r="I188" s="5" t="s">
        <v>67</v>
      </c>
      <c r="J188" s="7">
        <v>12</v>
      </c>
      <c r="K188" s="5" t="b">
        <v>0</v>
      </c>
      <c r="L188" s="5" t="b">
        <v>0</v>
      </c>
      <c r="M188" s="6" t="s">
        <v>66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BG188" s="6" t="s">
        <v>66</v>
      </c>
      <c r="BH188" s="5">
        <v>0</v>
      </c>
      <c r="BI188" s="5">
        <v>0</v>
      </c>
      <c r="BJ188" s="43" t="s">
        <v>677</v>
      </c>
      <c r="BK188" s="5" t="s">
        <v>70</v>
      </c>
      <c r="BL188" s="5"/>
      <c r="BM188" s="5" t="b">
        <v>0</v>
      </c>
      <c r="CS188" s="31" t="str">
        <f t="shared" si="43"/>
        <v>.cs-cleanup-excludecex</v>
      </c>
    </row>
    <row r="189" spans="1:97">
      <c r="A189" s="38" t="str">
        <f t="shared" si="23"/>
        <v>bookmaker-keep-together (bkt)</v>
      </c>
      <c r="C189" s="7" t="s">
        <v>423</v>
      </c>
      <c r="D189" s="7" t="s">
        <v>215</v>
      </c>
      <c r="E189" s="38" t="str">
        <f t="shared" si="42"/>
        <v>bookmaker-keep-together (bkt)</v>
      </c>
      <c r="F189" s="5">
        <v>7</v>
      </c>
      <c r="G189" s="5" t="b">
        <v>0</v>
      </c>
      <c r="H189" s="5">
        <v>2</v>
      </c>
      <c r="I189" s="5" t="s">
        <v>67</v>
      </c>
      <c r="J189" s="7">
        <v>12</v>
      </c>
      <c r="K189" s="5" t="b">
        <v>0</v>
      </c>
      <c r="L189" s="5" t="b">
        <v>0</v>
      </c>
      <c r="M189" s="6" t="s">
        <v>66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J189" s="5"/>
      <c r="AK189" s="5"/>
      <c r="AL189" s="5"/>
      <c r="AM189" s="6"/>
      <c r="AN189" s="5"/>
      <c r="AO189" s="5"/>
      <c r="AP189" s="5"/>
      <c r="AQ189" s="6"/>
      <c r="AR189" s="5"/>
      <c r="AS189" s="5"/>
      <c r="AT189" s="5"/>
      <c r="AU189" s="6"/>
      <c r="AV189" s="5"/>
      <c r="AW189" s="5"/>
      <c r="AX189" s="5"/>
      <c r="AY189" s="6"/>
      <c r="AZ189" s="5"/>
      <c r="BA189" s="5"/>
      <c r="BB189" s="5"/>
      <c r="BC189" s="5"/>
      <c r="BD189" s="5"/>
      <c r="BE189" s="5"/>
      <c r="BF189" s="6"/>
      <c r="BG189" s="6" t="s">
        <v>66</v>
      </c>
      <c r="BH189" s="5">
        <v>0</v>
      </c>
      <c r="BI189" s="5">
        <v>0</v>
      </c>
      <c r="BJ189" s="44" t="s">
        <v>678</v>
      </c>
      <c r="BK189" s="5" t="s">
        <v>70</v>
      </c>
      <c r="BL189" s="5"/>
      <c r="BM189" s="5" t="b">
        <v>0</v>
      </c>
      <c r="CS189" s="24" t="str">
        <f t="shared" si="43"/>
        <v>.bookmaker-keep-togetherbkt</v>
      </c>
    </row>
    <row r="190" spans="1:97">
      <c r="A190" s="38" t="str">
        <f t="shared" si="23"/>
        <v>bookmaker-loosen (bln)</v>
      </c>
      <c r="C190" s="7" t="s">
        <v>426</v>
      </c>
      <c r="D190" s="7" t="s">
        <v>427</v>
      </c>
      <c r="E190" s="38" t="str">
        <f t="shared" si="42"/>
        <v>bookmaker-loosen (bln)</v>
      </c>
      <c r="F190" s="5">
        <v>7</v>
      </c>
      <c r="G190" s="5" t="b">
        <v>0</v>
      </c>
      <c r="H190" s="5">
        <v>2</v>
      </c>
      <c r="I190" s="5" t="s">
        <v>67</v>
      </c>
      <c r="J190" s="7">
        <v>12</v>
      </c>
      <c r="K190" s="5" t="b">
        <v>0</v>
      </c>
      <c r="L190" s="5" t="b">
        <v>0</v>
      </c>
      <c r="M190" s="6" t="s">
        <v>66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J190" s="5"/>
      <c r="AK190" s="5"/>
      <c r="AL190" s="5"/>
      <c r="AM190" s="6"/>
      <c r="AN190" s="5"/>
      <c r="AO190" s="5"/>
      <c r="AP190" s="5"/>
      <c r="AQ190" s="6"/>
      <c r="AR190" s="5"/>
      <c r="AS190" s="5"/>
      <c r="AT190" s="5"/>
      <c r="AU190" s="6"/>
      <c r="AV190" s="5"/>
      <c r="AW190" s="5"/>
      <c r="AX190" s="5"/>
      <c r="AY190" s="6"/>
      <c r="AZ190" s="5"/>
      <c r="BA190" s="5"/>
      <c r="BB190" s="5"/>
      <c r="BC190" s="5"/>
      <c r="BD190" s="5"/>
      <c r="BE190" s="5"/>
      <c r="BF190" s="6"/>
      <c r="BG190" s="6" t="s">
        <v>66</v>
      </c>
      <c r="BH190" s="5">
        <v>0</v>
      </c>
      <c r="BI190" s="5">
        <v>0</v>
      </c>
      <c r="BJ190" s="44" t="s">
        <v>678</v>
      </c>
      <c r="BK190" s="5" t="s">
        <v>70</v>
      </c>
      <c r="BL190" s="5"/>
      <c r="BM190" s="5" t="b">
        <v>0</v>
      </c>
      <c r="CS190" s="24" t="str">
        <f t="shared" si="43"/>
        <v>.bookmaker-loosenbln</v>
      </c>
    </row>
    <row r="191" spans="1:97">
      <c r="A191" s="38" t="str">
        <f t="shared" si="23"/>
        <v>bookmaker-tighten (bti)</v>
      </c>
      <c r="C191" s="26" t="s">
        <v>424</v>
      </c>
      <c r="D191" s="36" t="s">
        <v>425</v>
      </c>
      <c r="E191" s="38" t="str">
        <f t="shared" si="42"/>
        <v>bookmaker-tighten (bti)</v>
      </c>
      <c r="F191" s="5">
        <v>7</v>
      </c>
      <c r="G191" s="5" t="b">
        <v>0</v>
      </c>
      <c r="H191" s="5">
        <v>2</v>
      </c>
      <c r="I191" s="5" t="s">
        <v>67</v>
      </c>
      <c r="J191" s="7">
        <v>12</v>
      </c>
      <c r="K191" s="5" t="b">
        <v>0</v>
      </c>
      <c r="L191" s="5" t="b">
        <v>0</v>
      </c>
      <c r="M191" s="6" t="s">
        <v>66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J191" s="5"/>
      <c r="AK191" s="5"/>
      <c r="AL191" s="5"/>
      <c r="AM191" s="6"/>
      <c r="AN191" s="5"/>
      <c r="AO191" s="5"/>
      <c r="AP191" s="5"/>
      <c r="AQ191" s="6"/>
      <c r="AR191" s="5"/>
      <c r="AS191" s="5"/>
      <c r="AT191" s="5"/>
      <c r="AU191" s="6"/>
      <c r="AV191" s="5"/>
      <c r="AW191" s="5"/>
      <c r="AX191" s="5"/>
      <c r="AY191" s="6"/>
      <c r="AZ191" s="5"/>
      <c r="BA191" s="5"/>
      <c r="BB191" s="5"/>
      <c r="BC191" s="5"/>
      <c r="BD191" s="5"/>
      <c r="BE191" s="5"/>
      <c r="BF191" s="6"/>
      <c r="BG191" s="6" t="s">
        <v>66</v>
      </c>
      <c r="BH191" s="5">
        <v>0</v>
      </c>
      <c r="BI191" s="5">
        <v>0</v>
      </c>
      <c r="BJ191" s="44" t="s">
        <v>678</v>
      </c>
      <c r="BK191" s="5" t="s">
        <v>70</v>
      </c>
      <c r="BL191" s="5"/>
      <c r="BM191" s="5" t="b">
        <v>0</v>
      </c>
      <c r="CS191" s="24" t="str">
        <f t="shared" si="43"/>
        <v>.bookmaker-tightenbti</v>
      </c>
    </row>
    <row r="192" spans="1:97">
      <c r="A192" s="38" t="str">
        <f t="shared" si="23"/>
        <v>cs-isbn (isbn)</v>
      </c>
      <c r="C192" s="7" t="s">
        <v>750</v>
      </c>
      <c r="D192" s="7" t="s">
        <v>749</v>
      </c>
      <c r="E192" s="38" t="str">
        <f t="shared" si="42"/>
        <v>cs-isbn (isbn)</v>
      </c>
      <c r="F192" s="85">
        <v>7</v>
      </c>
      <c r="G192" s="7" t="b">
        <v>0</v>
      </c>
      <c r="H192" s="5">
        <v>2</v>
      </c>
      <c r="I192" s="5" t="s">
        <v>67</v>
      </c>
      <c r="J192" s="7">
        <v>12</v>
      </c>
      <c r="K192" s="5" t="b">
        <v>0</v>
      </c>
      <c r="L192" s="5" t="b">
        <v>0</v>
      </c>
      <c r="M192" s="6" t="s">
        <v>66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X192" s="5"/>
      <c r="Y192" s="5"/>
      <c r="Z192" s="5"/>
      <c r="BG192" s="6" t="s">
        <v>66</v>
      </c>
      <c r="BH192" s="5">
        <v>0</v>
      </c>
      <c r="BI192" s="5">
        <v>0</v>
      </c>
      <c r="BJ192" s="43" t="s">
        <v>677</v>
      </c>
      <c r="BK192" s="5" t="s">
        <v>70</v>
      </c>
      <c r="BL192" s="5"/>
      <c r="BM192" s="5" t="b">
        <v>0</v>
      </c>
      <c r="CS192" s="31" t="str">
        <f t="shared" ref="CS192" si="48">"."&amp;SUBSTITUTE(SUBSTITUTE(SUBSTITUTE(SUBSTITUTE(A192, "(",""),")","")," ",""),"#","")</f>
        <v>.cs-isbnisbn</v>
      </c>
    </row>
    <row r="193" spans="1:97">
      <c r="A193" s="23" t="str">
        <f t="shared" ref="A193:A195" si="49">IF($D193="","",TRIM($C193)&amp;" "&amp;CHAR(40)&amp;TRIM($D193)&amp;CHAR(41))</f>
        <v/>
      </c>
      <c r="CS193" s="24" t="str">
        <f t="shared" ref="CS193:CS195" si="50">SUBSTITUTE(SUBSTITUTE(SUBSTITUTE(SUBSTITUTE(A193, "(",""),")","")," ",""),"#","")</f>
        <v/>
      </c>
    </row>
    <row r="194" spans="1:97">
      <c r="A194" s="23" t="str">
        <f t="shared" si="49"/>
        <v/>
      </c>
      <c r="CS194" s="24" t="str">
        <f t="shared" si="50"/>
        <v/>
      </c>
    </row>
    <row r="195" spans="1:97">
      <c r="A195" s="23" t="str">
        <f t="shared" si="49"/>
        <v/>
      </c>
      <c r="CS195" s="24" t="str">
        <f t="shared" si="50"/>
        <v/>
      </c>
    </row>
    <row r="196" spans="1:97">
      <c r="A196" s="23" t="str">
        <f>IF($D196="","",TRIM($D191)&amp;" "&amp;CHAR(40)&amp;TRIM($D196)&amp;CHAR(41))</f>
        <v/>
      </c>
      <c r="CS196" s="24" t="str">
        <f t="shared" ref="CS196:CS200" si="51">SUBSTITUTE(SUBSTITUTE(SUBSTITUTE(SUBSTITUTE(A196, "(",""),")","")," ",""),"#","")</f>
        <v/>
      </c>
    </row>
    <row r="197" spans="1:97">
      <c r="A197" s="23" t="str">
        <f t="shared" ref="A197:A200" si="52">IF($D197="","",TRIM($C197)&amp;" "&amp;CHAR(40)&amp;TRIM($D197)&amp;CHAR(41))</f>
        <v/>
      </c>
      <c r="CS197" s="24" t="str">
        <f t="shared" si="51"/>
        <v/>
      </c>
    </row>
    <row r="198" spans="1:97">
      <c r="A198" s="23" t="str">
        <f t="shared" si="52"/>
        <v/>
      </c>
      <c r="CS198" s="24" t="str">
        <f t="shared" si="51"/>
        <v/>
      </c>
    </row>
    <row r="199" spans="1:97">
      <c r="A199" s="23" t="str">
        <f t="shared" si="52"/>
        <v/>
      </c>
      <c r="CS199" s="24" t="str">
        <f t="shared" si="51"/>
        <v/>
      </c>
    </row>
    <row r="200" spans="1:97">
      <c r="A200" s="23" t="str">
        <f t="shared" si="52"/>
        <v/>
      </c>
      <c r="CS200" s="24" t="str">
        <f t="shared" si="51"/>
        <v/>
      </c>
    </row>
    <row r="201" spans="1:97">
      <c r="A201" s="23"/>
      <c r="CS201" s="24"/>
    </row>
    <row r="202" spans="1:97">
      <c r="A202" s="23"/>
      <c r="CS202" s="24"/>
    </row>
    <row r="203" spans="1:97">
      <c r="A203" s="23"/>
      <c r="CS203" s="24"/>
    </row>
    <row r="204" spans="1:97">
      <c r="A204" s="23"/>
      <c r="CS204" s="24"/>
    </row>
    <row r="205" spans="1:97">
      <c r="A205" s="23"/>
      <c r="CS205" s="24"/>
    </row>
    <row r="206" spans="1:97">
      <c r="A206" s="23"/>
      <c r="CS206" s="24"/>
    </row>
    <row r="207" spans="1:97">
      <c r="A207" s="23"/>
      <c r="CS207" s="24"/>
    </row>
    <row r="208" spans="1:97">
      <c r="A208" s="23"/>
      <c r="CS208" s="24"/>
    </row>
    <row r="209" spans="1:97">
      <c r="A209" s="23"/>
      <c r="CS209" s="24"/>
    </row>
    <row r="210" spans="1:97">
      <c r="A210" s="23"/>
      <c r="CS210" s="24"/>
    </row>
    <row r="211" spans="1:97">
      <c r="A211" s="23"/>
      <c r="CS211" s="24"/>
    </row>
    <row r="212" spans="1:97">
      <c r="A212" s="23"/>
      <c r="CS212" s="24"/>
    </row>
    <row r="213" spans="1:97">
      <c r="A213" s="23"/>
      <c r="CS213" s="24"/>
    </row>
    <row r="214" spans="1:97">
      <c r="A214" s="23"/>
      <c r="CS214" s="24"/>
    </row>
    <row r="215" spans="1:97">
      <c r="A215" s="23"/>
      <c r="CS215" s="24"/>
    </row>
    <row r="216" spans="1:97">
      <c r="A216" s="23"/>
      <c r="CS216" s="24"/>
    </row>
    <row r="217" spans="1:97">
      <c r="A217" s="23"/>
      <c r="CS217" s="24"/>
    </row>
    <row r="218" spans="1:97">
      <c r="A218" s="23"/>
      <c r="CS218" s="24"/>
    </row>
    <row r="219" spans="1:97">
      <c r="A219" s="23"/>
      <c r="CS219" s="24"/>
    </row>
    <row r="220" spans="1:97">
      <c r="A220" s="23"/>
      <c r="CS220" s="24"/>
    </row>
    <row r="221" spans="1:97">
      <c r="A221" s="23"/>
      <c r="CS221" s="24"/>
    </row>
    <row r="222" spans="1:97">
      <c r="A222" s="23"/>
      <c r="CS222" s="24"/>
    </row>
    <row r="223" spans="1:97">
      <c r="A223" s="23"/>
      <c r="CS223" s="24"/>
    </row>
    <row r="224" spans="1:97">
      <c r="A224" s="23"/>
      <c r="CS224" s="24"/>
    </row>
    <row r="225" spans="1:97">
      <c r="A225" s="23"/>
      <c r="CS225" s="24"/>
    </row>
    <row r="226" spans="1:97">
      <c r="A226" s="23"/>
      <c r="CS226" s="24"/>
    </row>
    <row r="227" spans="1:97">
      <c r="A227" s="23"/>
      <c r="CS227" s="24"/>
    </row>
    <row r="228" spans="1:97">
      <c r="A228" s="23"/>
      <c r="CS228" s="24"/>
    </row>
    <row r="229" spans="1:97">
      <c r="A229" s="23"/>
      <c r="CS229" s="24"/>
    </row>
    <row r="230" spans="1:97">
      <c r="A230" s="23"/>
      <c r="CS230" s="24"/>
    </row>
  </sheetData>
  <sheetProtection sheet="1" objects="1" scenarios="1" formatCells="0" formatColumns="0" formatRows="0" insertColumns="0" insertRows="0" deleteColumns="0" deleteRows="0" sort="0" autoFilter="0"/>
  <mergeCells count="11">
    <mergeCell ref="X1:AK1"/>
    <mergeCell ref="CU1:CX1"/>
    <mergeCell ref="BN1:CT1"/>
    <mergeCell ref="BG1:BJ1"/>
    <mergeCell ref="BK1:BM1"/>
    <mergeCell ref="C2:D2"/>
    <mergeCell ref="B1:D1"/>
    <mergeCell ref="E1:H1"/>
    <mergeCell ref="I1:R1"/>
    <mergeCell ref="S1:W1"/>
    <mergeCell ref="S2:W2"/>
  </mergeCells>
  <conditionalFormatting sqref="D193:D1048576 D1:D3">
    <cfRule type="duplicateValues" dxfId="177" priority="124"/>
  </conditionalFormatting>
  <conditionalFormatting sqref="G1:G3 G5:G169 G193:G1048576 G171:G191">
    <cfRule type="containsText" dxfId="176" priority="118" operator="containsText" text="true">
      <formula>NOT(ISERROR(SEARCH("true",G1)))</formula>
    </cfRule>
  </conditionalFormatting>
  <conditionalFormatting sqref="D5:D10 D12:D16">
    <cfRule type="duplicateValues" dxfId="175" priority="114"/>
  </conditionalFormatting>
  <conditionalFormatting sqref="D11">
    <cfRule type="duplicateValues" dxfId="174" priority="113"/>
  </conditionalFormatting>
  <conditionalFormatting sqref="D17">
    <cfRule type="duplicateValues" dxfId="173" priority="112"/>
  </conditionalFormatting>
  <conditionalFormatting sqref="D18:D20 D23:D35">
    <cfRule type="duplicateValues" dxfId="172" priority="111"/>
  </conditionalFormatting>
  <conditionalFormatting sqref="D21">
    <cfRule type="duplicateValues" dxfId="171" priority="110"/>
  </conditionalFormatting>
  <conditionalFormatting sqref="D22">
    <cfRule type="duplicateValues" dxfId="170" priority="109"/>
  </conditionalFormatting>
  <conditionalFormatting sqref="AR142 A140:AP140 AN137:AP139 AN136:AQ136 AV136:AW140 A136:AK139 R85:R168 S28:V169 A163:AR163 A59:AR60 A55:AQ58 A61:AQ61 A79:AR79 A78:AQ78 A80:AQ80 A128:AR128 A127:AQ127 A130:AR135 A129:AQ129 AR144:AR145 BB142:BE145 AT142:AW145 N142:W145 AN142:AP142 AP143:AP145 Y142:AL142 Y143:AK145 BA139:CX140 AT141:CX141 AT163:CX163 A5:CX5 BB136:CX138 BL171:CX174 BG142:CX162 AT6:CX135 BG4:CN4 AT170:CX170 A62:AR77 A113:AR126 A87:AQ112 A6:AR54 A141:AR141 A81:AR86 A164:CX169 A171:BF174 A175:CX191 A142:L162">
    <cfRule type="containsText" dxfId="1" priority="108" operator="containsText" text="true">
      <formula>NOT(ISERROR(SEARCH("true",A4)))</formula>
    </cfRule>
  </conditionalFormatting>
  <conditionalFormatting sqref="AR146:AR162 BB162:BF162 BB146:BE161 N146:W162 AT161:AX161 AT146:AW160 AP146:AP162 AT162 AV162 AX162 Y146:AK162">
    <cfRule type="containsText" dxfId="169" priority="105" operator="containsText" text="true">
      <formula>NOT(ISERROR(SEARCH("true",N146)))</formula>
    </cfRule>
  </conditionalFormatting>
  <conditionalFormatting sqref="AL136:AM139">
    <cfRule type="containsText" dxfId="168" priority="103" operator="containsText" text="true">
      <formula>NOT(ISERROR(SEARCH("true",AL136)))</formula>
    </cfRule>
  </conditionalFormatting>
  <conditionalFormatting sqref="AT137:AT140 AT136:AU136">
    <cfRule type="containsText" dxfId="167" priority="102" operator="containsText" text="true">
      <formula>NOT(ISERROR(SEARCH("true",AT136)))</formula>
    </cfRule>
  </conditionalFormatting>
  <conditionalFormatting sqref="AX137:AX140 AX136:AY136">
    <cfRule type="containsText" dxfId="166" priority="101" operator="containsText" text="true">
      <formula>NOT(ISERROR(SEARCH("true",AX136)))</formula>
    </cfRule>
  </conditionalFormatting>
  <conditionalFormatting sqref="AZ139:AZ140">
    <cfRule type="containsText" dxfId="165" priority="100" operator="containsText" text="true">
      <formula>NOT(ISERROR(SEARCH("true",AZ139)))</formula>
    </cfRule>
  </conditionalFormatting>
  <conditionalFormatting sqref="AS6:AS86 AS113:AS161">
    <cfRule type="containsText" dxfId="164" priority="93" operator="containsText" text="true">
      <formula>NOT(ISERROR(SEARCH("true",AS6)))</formula>
    </cfRule>
  </conditionalFormatting>
  <conditionalFormatting sqref="AR55:AR58">
    <cfRule type="containsText" dxfId="163" priority="92" operator="containsText" text="true">
      <formula>NOT(ISERROR(SEARCH("true",AR55)))</formula>
    </cfRule>
  </conditionalFormatting>
  <conditionalFormatting sqref="AR61">
    <cfRule type="containsText" dxfId="162" priority="91" operator="containsText" text="true">
      <formula>NOT(ISERROR(SEARCH("true",AR61)))</formula>
    </cfRule>
  </conditionalFormatting>
  <conditionalFormatting sqref="AR78">
    <cfRule type="containsText" dxfId="161" priority="90" operator="containsText" text="true">
      <formula>NOT(ISERROR(SEARCH("true",AR78)))</formula>
    </cfRule>
  </conditionalFormatting>
  <conditionalFormatting sqref="AR80">
    <cfRule type="containsText" dxfId="160" priority="89" operator="containsText" text="true">
      <formula>NOT(ISERROR(SEARCH("true",AR80)))</formula>
    </cfRule>
  </conditionalFormatting>
  <conditionalFormatting sqref="AR127">
    <cfRule type="containsText" dxfId="159" priority="88" operator="containsText" text="true">
      <formula>NOT(ISERROR(SEARCH("true",AR127)))</formula>
    </cfRule>
  </conditionalFormatting>
  <conditionalFormatting sqref="AR129">
    <cfRule type="containsText" dxfId="158" priority="87" operator="containsText" text="true">
      <formula>NOT(ISERROR(SEARCH("true",AR129)))</formula>
    </cfRule>
  </conditionalFormatting>
  <conditionalFormatting sqref="AR143">
    <cfRule type="containsText" dxfId="157" priority="86" operator="containsText" text="true">
      <formula>NOT(ISERROR(SEARCH("true",AR143)))</formula>
    </cfRule>
  </conditionalFormatting>
  <conditionalFormatting sqref="M142:M162">
    <cfRule type="containsText" dxfId="156" priority="75" operator="containsText" text="true">
      <formula>NOT(ISERROR(SEARCH("true",M142)))</formula>
    </cfRule>
  </conditionalFormatting>
  <conditionalFormatting sqref="AX143:AX160">
    <cfRule type="containsText" dxfId="155" priority="72" operator="containsText" text="true">
      <formula>NOT(ISERROR(SEARCH("true",AX143)))</formula>
    </cfRule>
  </conditionalFormatting>
  <conditionalFormatting sqref="AX142">
    <cfRule type="containsText" dxfId="154" priority="71" operator="containsText" text="true">
      <formula>NOT(ISERROR(SEARCH("true",AX142)))</formula>
    </cfRule>
  </conditionalFormatting>
  <conditionalFormatting sqref="BF142:BF161">
    <cfRule type="containsText" dxfId="153" priority="69" operator="containsText" text="true">
      <formula>NOT(ISERROR(SEARCH("true",BF142)))</formula>
    </cfRule>
  </conditionalFormatting>
  <conditionalFormatting sqref="AR136">
    <cfRule type="containsText" dxfId="152" priority="68" operator="containsText" text="true">
      <formula>NOT(ISERROR(SEARCH("true",AR136)))</formula>
    </cfRule>
  </conditionalFormatting>
  <conditionalFormatting sqref="AR137">
    <cfRule type="containsText" dxfId="151" priority="67" operator="containsText" text="true">
      <formula>NOT(ISERROR(SEARCH("true",AR137)))</formula>
    </cfRule>
  </conditionalFormatting>
  <conditionalFormatting sqref="AR138">
    <cfRule type="containsText" dxfId="150" priority="66" operator="containsText" text="true">
      <formula>NOT(ISERROR(SEARCH("true",AR138)))</formula>
    </cfRule>
  </conditionalFormatting>
  <conditionalFormatting sqref="AR139">
    <cfRule type="containsText" dxfId="149" priority="65" operator="containsText" text="true">
      <formula>NOT(ISERROR(SEARCH("true",AR139)))</formula>
    </cfRule>
  </conditionalFormatting>
  <conditionalFormatting sqref="AR140">
    <cfRule type="containsText" dxfId="148" priority="64" operator="containsText" text="true">
      <formula>NOT(ISERROR(SEARCH("true",AR140)))</formula>
    </cfRule>
  </conditionalFormatting>
  <conditionalFormatting sqref="AL143:AL162 AN162">
    <cfRule type="containsText" dxfId="147" priority="62" operator="containsText" text="true">
      <formula>NOT(ISERROR(SEARCH("true",AL143)))</formula>
    </cfRule>
  </conditionalFormatting>
  <conditionalFormatting sqref="AM162">
    <cfRule type="containsText" dxfId="146" priority="60" operator="containsText" text="true">
      <formula>NOT(ISERROR(SEARCH("true",AM162)))</formula>
    </cfRule>
  </conditionalFormatting>
  <conditionalFormatting sqref="BA142:BA162">
    <cfRule type="containsText" dxfId="145" priority="56" operator="containsText" text="true">
      <formula>NOT(ISERROR(SEARCH("true",BA142)))</formula>
    </cfRule>
  </conditionalFormatting>
  <conditionalFormatting sqref="AN143:AN161">
    <cfRule type="containsText" dxfId="144" priority="51" operator="containsText" text="true">
      <formula>NOT(ISERROR(SEARCH("true",AN143)))</formula>
    </cfRule>
  </conditionalFormatting>
  <conditionalFormatting sqref="AO162">
    <cfRule type="containsText" dxfId="143" priority="49" operator="containsText" text="true">
      <formula>NOT(ISERROR(SEARCH("true",AO162)))</formula>
    </cfRule>
  </conditionalFormatting>
  <conditionalFormatting sqref="AS162">
    <cfRule type="containsText" dxfId="142" priority="48" operator="containsText" text="true">
      <formula>NOT(ISERROR(SEARCH("true",AS162)))</formula>
    </cfRule>
  </conditionalFormatting>
  <conditionalFormatting sqref="AW162">
    <cfRule type="containsText" dxfId="141" priority="47" operator="containsText" text="true">
      <formula>NOT(ISERROR(SEARCH("true",AW162)))</formula>
    </cfRule>
  </conditionalFormatting>
  <conditionalFormatting sqref="AZ142 AZ144:AZ145">
    <cfRule type="containsText" dxfId="140" priority="46" operator="containsText" text="true">
      <formula>NOT(ISERROR(SEARCH("true",AZ142)))</formula>
    </cfRule>
  </conditionalFormatting>
  <conditionalFormatting sqref="AZ146:AZ162">
    <cfRule type="containsText" dxfId="139" priority="45" operator="containsText" text="true">
      <formula>NOT(ISERROR(SEARCH("true",AZ146)))</formula>
    </cfRule>
  </conditionalFormatting>
  <conditionalFormatting sqref="AZ143">
    <cfRule type="containsText" dxfId="138" priority="44" operator="containsText" text="true">
      <formula>NOT(ISERROR(SEARCH("true",AZ143)))</formula>
    </cfRule>
  </conditionalFormatting>
  <conditionalFormatting sqref="AY162">
    <cfRule type="containsText" dxfId="137" priority="40" operator="containsText" text="true">
      <formula>NOT(ISERROR(SEARCH("true",AY162)))</formula>
    </cfRule>
  </conditionalFormatting>
  <conditionalFormatting sqref="AQ142:AQ161">
    <cfRule type="containsText" dxfId="136" priority="39" operator="containsText" text="true">
      <formula>NOT(ISERROR(SEARCH("true",AQ142)))</formula>
    </cfRule>
  </conditionalFormatting>
  <conditionalFormatting sqref="AY142:AY161">
    <cfRule type="containsText" dxfId="135" priority="38" operator="containsText" text="true">
      <formula>NOT(ISERROR(SEARCH("true",AY142)))</formula>
    </cfRule>
  </conditionalFormatting>
  <conditionalFormatting sqref="AM142:AM161">
    <cfRule type="containsText" dxfId="134" priority="37" operator="containsText" text="true">
      <formula>NOT(ISERROR(SEARCH("true",AM142)))</formula>
    </cfRule>
  </conditionalFormatting>
  <conditionalFormatting sqref="AO143:AO161">
    <cfRule type="containsText" dxfId="133" priority="36" operator="containsText" text="true">
      <formula>NOT(ISERROR(SEARCH("true",AO143)))</formula>
    </cfRule>
  </conditionalFormatting>
  <conditionalFormatting sqref="AU162">
    <cfRule type="containsText" dxfId="132" priority="34" operator="containsText" text="true">
      <formula>NOT(ISERROR(SEARCH("true",AU162)))</formula>
    </cfRule>
  </conditionalFormatting>
  <conditionalFormatting sqref="AQ162">
    <cfRule type="containsText" dxfId="131" priority="33" operator="containsText" text="true">
      <formula>NOT(ISERROR(SEARCH("true",AQ162)))</formula>
    </cfRule>
  </conditionalFormatting>
  <conditionalFormatting sqref="X142:X162">
    <cfRule type="containsText" dxfId="130" priority="30" operator="containsText" text="true">
      <formula>NOT(ISERROR(SEARCH("true",X142)))</formula>
    </cfRule>
  </conditionalFormatting>
  <conditionalFormatting sqref="AR87:AR112">
    <cfRule type="containsText" dxfId="129" priority="29" operator="containsText" text="true">
      <formula>NOT(ISERROR(SEARCH("true",AR87)))</formula>
    </cfRule>
  </conditionalFormatting>
  <conditionalFormatting sqref="AS87:AS112">
    <cfRule type="containsText" dxfId="128" priority="28" operator="containsText" text="true">
      <formula>NOT(ISERROR(SEARCH("true",AS87)))</formula>
    </cfRule>
  </conditionalFormatting>
  <conditionalFormatting sqref="BA136:BA138">
    <cfRule type="containsText" dxfId="127" priority="27" operator="containsText" text="true">
      <formula>NOT(ISERROR(SEARCH("true",BA136)))</formula>
    </cfRule>
  </conditionalFormatting>
  <conditionalFormatting sqref="AZ136">
    <cfRule type="containsText" dxfId="126" priority="26" operator="containsText" text="true">
      <formula>NOT(ISERROR(SEARCH("true",AZ136)))</formula>
    </cfRule>
  </conditionalFormatting>
  <conditionalFormatting sqref="AZ137">
    <cfRule type="containsText" dxfId="125" priority="25" operator="containsText" text="true">
      <formula>NOT(ISERROR(SEARCH("true",AZ137)))</formula>
    </cfRule>
  </conditionalFormatting>
  <conditionalFormatting sqref="AZ138">
    <cfRule type="containsText" dxfId="124" priority="24" operator="containsText" text="true">
      <formula>NOT(ISERROR(SEARCH("true",AZ138)))</formula>
    </cfRule>
  </conditionalFormatting>
  <conditionalFormatting sqref="G4">
    <cfRule type="containsText" dxfId="123" priority="23" operator="containsText" text="true">
      <formula>NOT(ISERROR(SEARCH("true",G4)))</formula>
    </cfRule>
  </conditionalFormatting>
  <conditionalFormatting sqref="D4">
    <cfRule type="duplicateValues" dxfId="122" priority="22"/>
  </conditionalFormatting>
  <conditionalFormatting sqref="AT4:BE4 A4:D4 N4:AI4 AK4:AR4 CP4:CX4 F4:L4">
    <cfRule type="containsText" dxfId="121" priority="21" operator="containsText" text="true">
      <formula>NOT(ISERROR(SEARCH("true",A4)))</formula>
    </cfRule>
  </conditionalFormatting>
  <conditionalFormatting sqref="AS4">
    <cfRule type="containsText" dxfId="120" priority="20" operator="containsText" text="true">
      <formula>NOT(ISERROR(SEARCH("true",AS4)))</formula>
    </cfRule>
  </conditionalFormatting>
  <conditionalFormatting sqref="AJ4">
    <cfRule type="containsText" dxfId="119" priority="18" operator="containsText" text="true">
      <formula>NOT(ISERROR(SEARCH("true",AJ4)))</formula>
    </cfRule>
  </conditionalFormatting>
  <conditionalFormatting sqref="BF4">
    <cfRule type="containsText" dxfId="118" priority="17" operator="containsText" text="true">
      <formula>NOT(ISERROR(SEARCH("true",BF4)))</formula>
    </cfRule>
  </conditionalFormatting>
  <conditionalFormatting sqref="CO4">
    <cfRule type="containsText" dxfId="117" priority="16" operator="containsText" text="true">
      <formula>NOT(ISERROR(SEARCH("true",CO4)))</formula>
    </cfRule>
  </conditionalFormatting>
  <conditionalFormatting sqref="E4">
    <cfRule type="containsText" dxfId="116" priority="15" operator="containsText" text="true">
      <formula>NOT(ISERROR(SEARCH("true",E4)))</formula>
    </cfRule>
  </conditionalFormatting>
  <conditionalFormatting sqref="M4">
    <cfRule type="containsText" dxfId="115" priority="14" operator="containsText" text="true">
      <formula>NOT(ISERROR(SEARCH("true",M4)))</formula>
    </cfRule>
  </conditionalFormatting>
  <conditionalFormatting sqref="G170">
    <cfRule type="containsText" dxfId="114" priority="13" operator="containsText" text="true">
      <formula>NOT(ISERROR(SEARCH("true",G170)))</formula>
    </cfRule>
  </conditionalFormatting>
  <conditionalFormatting sqref="A170:E170 G170:AR170">
    <cfRule type="containsText" dxfId="113" priority="12" operator="containsText" text="true">
      <formula>NOT(ISERROR(SEARCH("true",A170)))</formula>
    </cfRule>
  </conditionalFormatting>
  <conditionalFormatting sqref="BG171:BK173">
    <cfRule type="containsText" dxfId="112" priority="7" operator="containsText" text="true">
      <formula>NOT(ISERROR(SEARCH("true",BG171)))</formula>
    </cfRule>
  </conditionalFormatting>
  <conditionalFormatting sqref="BG174:BK174">
    <cfRule type="containsText" dxfId="111" priority="6" operator="containsText" text="true">
      <formula>NOT(ISERROR(SEARCH("true",BG174)))</formula>
    </cfRule>
  </conditionalFormatting>
  <conditionalFormatting sqref="G192">
    <cfRule type="containsText" dxfId="110" priority="4" operator="containsText" text="true">
      <formula>NOT(ISERROR(SEARCH("true",G192)))</formula>
    </cfRule>
  </conditionalFormatting>
  <conditionalFormatting sqref="A192:E192 G192:CX192">
    <cfRule type="containsText" dxfId="109" priority="3" operator="containsText" text="true">
      <formula>NOT(ISERROR(SEARCH("true",A192)))</formula>
    </cfRule>
  </conditionalFormatting>
  <conditionalFormatting sqref="F170">
    <cfRule type="containsText" dxfId="2" priority="2" operator="containsText" text="true">
      <formula>NOT(ISERROR(SEARCH("true",F170)))</formula>
    </cfRule>
  </conditionalFormatting>
  <conditionalFormatting sqref="F192">
    <cfRule type="containsText" dxfId="0" priority="1" operator="containsText" text="true">
      <formula>NOT(ISERROR(SEARCH("true",F192)))</formula>
    </cfRule>
  </conditionalFormatting>
  <dataValidations count="14">
    <dataValidation type="whole" allowBlank="1" showInputMessage="1" showErrorMessage="1" sqref="H193:H330 H112 H116:H118 H4:H105">
      <formula1>1</formula1>
      <formula2>2</formula2>
    </dataValidation>
    <dataValidation type="whole" allowBlank="1" showInputMessage="1" showErrorMessage="1" errorTitle="Style Type Error" error="You must input a number that corresponds to a wdStyleType value: wdStyleTypeParagraph=1; wdStyleTypeCharacter-2; wdStyleTypeTable=3" sqref="H106:H111 H113:H115 H119:H192">
      <formula1>1</formula1>
      <formula2>4</formula2>
    </dataValidation>
    <dataValidation type="list" allowBlank="1" showInputMessage="1" showErrorMessage="1" sqref="E193:E1048576 E142:E162 E115 E84:E85 E119:E123 E112 E136:E138 E1:E67">
      <formula1>$A$4:$A$192</formula1>
    </dataValidation>
    <dataValidation type="decimal" operator="greaterThanOrEqual" allowBlank="1" showInputMessage="1" showErrorMessage="1" sqref="AH4:AH330 AF4:AF330 BB4:BE330 AA4:AD330 J4:J330">
      <formula1>0</formula1>
    </dataValidation>
    <dataValidation type="whole" allowBlank="1" showInputMessage="1" showErrorMessage="1" sqref="AI4:AI330">
      <formula1>1</formula1>
      <formula2>10</formula2>
    </dataValidation>
    <dataValidation type="whole" allowBlank="1" showInputMessage="1" showErrorMessage="1" sqref="AZ4:AZ330 AN4:AN330 AV4:AV330 AR4:AR330 BH4:BH330">
      <formula1>0</formula1>
      <formula2>24</formula2>
    </dataValidation>
    <dataValidation type="whole" allowBlank="1" showInputMessage="1" showErrorMessage="1" sqref="AG4:AG330">
      <formula1>0</formula1>
      <formula2>9</formula2>
    </dataValidation>
    <dataValidation type="whole" allowBlank="1" showInputMessage="1" showErrorMessage="1" sqref="AE4:AE330">
      <formula1>0</formula1>
      <formula2>5</formula2>
    </dataValidation>
    <dataValidation type="decimal" operator="greaterThanOrEqual" allowBlank="1" showInputMessage="1" showErrorMessage="1" sqref="F4:F330">
      <formula1>1</formula1>
    </dataValidation>
    <dataValidation type="whole" allowBlank="1" showInputMessage="1" showErrorMessage="1" sqref="BL4:BL330">
      <formula1>0</formula1>
      <formula2>0</formula2>
    </dataValidation>
    <dataValidation type="custom" allowBlank="1" showInputMessage="1" showErrorMessage="1" sqref="A196">
      <formula1>COUNTIF($C:$D, D191)&lt;=1</formula1>
    </dataValidation>
    <dataValidation type="custom" allowBlank="1" showInputMessage="1" showErrorMessage="1" sqref="D191">
      <formula1>COUNTIF($C:$D, E196)&lt;=1</formula1>
    </dataValidation>
    <dataValidation type="custom" allowBlank="1" showInputMessage="1" showErrorMessage="1" sqref="A197:A330 E163:E192 A4:A195 E124:E135 E86:E111 E116:E118 C4:D35 E68:E83 D193:D330 C197:C330 C193:C195 E139:E141 E113:E114">
      <formula1>COUNTIF($C:$D, C4)&lt;=1</formula1>
    </dataValidation>
    <dataValidation type="custom" allowBlank="1" showInputMessage="1" showErrorMessage="1" sqref="D192 D36:D190">
      <formula1>COUNTIF($C:$D, E36)&lt;=1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S193:V330 AX123 AL123 AT123 AT136:AT140 AX136:AX140 AJ4 Q36:R170 Q171:V174 N184:V184 BX193:BX330 N185:R330 X36:Z330 G4:G330 AP36:AP330 AJ36:AK330 K4:L330 CX4:CX330 CU4:CU330 BM4:BM330 BS4:BW330 BY4:CN330 CQ4:CQ192 N36:P183 Q175:R183</xm:sqref>
        </x14:dataValidation>
        <x14:dataValidation type="list" allowBlank="1" showInputMessage="1" showErrorMessage="1">
          <x14:formula1>
            <xm:f>validation_menus!$B$2:$B$10</xm:f>
          </x14:formula1>
          <xm:sqref>AS4:AS162 AS164:AS169 AS171:AS330 BA36:BA330 AW36:AW330 AO36:AO330 BI4:BI330</xm:sqref>
        </x14:dataValidation>
        <x14:dataValidation type="list" allowBlank="1" showInputMessage="1" showErrorMessage="1">
          <x14:formula1>
            <xm:f>[1]validation_menus!#REF!</xm:f>
          </x14:formula1>
          <xm:sqref>BA4:BA35 AW4:AW35 W4:Z35 AJ5:AJ35 AP5:AP35 N4:R35 AK4:AK35 AO4:AO35 S4:V170 S185:V192 S175:V183</xm:sqref>
        </x14:dataValidation>
        <x14:dataValidation type="list" allowBlank="1" showInputMessage="1" showErrorMessage="1">
          <x14:formula1>
            <xm:f>validation_menus!$C$2:$C$3</xm:f>
          </x14:formula1>
          <xm:sqref>BK4:BK330</xm:sqref>
        </x14:dataValidation>
        <x14:dataValidation type="list" allowBlank="1" showInputMessage="1" showErrorMessage="1">
          <x14:formula1>
            <xm:f>validation_menus!$D$2:$D$95</xm:f>
          </x14:formula1>
          <xm:sqref>W36:W330</xm:sqref>
        </x14:dataValidation>
        <x14:dataValidation type="list" allowBlank="1" showInputMessage="1" showErrorMessage="1">
          <x14:formula1>
            <xm:f>validation_menus!$E$2:$E$6</xm:f>
          </x14:formula1>
          <xm:sqref>I4:I330</xm:sqref>
        </x14:dataValidation>
        <x14:dataValidation type="list" allowBlank="1" showInputMessage="1" showErrorMessage="1">
          <x14:formula1>
            <xm:f>validation_menus!$F$2:$F$11</xm:f>
          </x14:formula1>
          <xm:sqref>BX4:BX192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F4" sqref="F4"/>
    </sheetView>
  </sheetViews>
  <sheetFormatPr defaultColWidth="11" defaultRowHeight="15.5"/>
  <cols>
    <col min="2" max="2" width="15" bestFit="1" customWidth="1"/>
    <col min="3" max="3" width="13.08203125" customWidth="1"/>
    <col min="6" max="6" width="17.83203125" customWidth="1"/>
  </cols>
  <sheetData>
    <row r="1" spans="1:6">
      <c r="A1" t="s">
        <v>105</v>
      </c>
      <c r="B1" t="s">
        <v>103</v>
      </c>
      <c r="C1" t="s">
        <v>104</v>
      </c>
      <c r="D1" t="s">
        <v>102</v>
      </c>
      <c r="E1" t="s">
        <v>206</v>
      </c>
      <c r="F1" t="s">
        <v>720</v>
      </c>
    </row>
    <row r="2" spans="1:6">
      <c r="A2" t="b">
        <v>1</v>
      </c>
      <c r="B2">
        <v>2</v>
      </c>
      <c r="C2" t="s">
        <v>0</v>
      </c>
      <c r="D2" t="s">
        <v>106</v>
      </c>
      <c r="E2" s="22" t="s">
        <v>1</v>
      </c>
      <c r="F2" t="s">
        <v>717</v>
      </c>
    </row>
    <row r="3" spans="1:6">
      <c r="A3" t="b">
        <v>0</v>
      </c>
      <c r="B3">
        <v>4</v>
      </c>
      <c r="C3" t="s">
        <v>70</v>
      </c>
      <c r="D3" t="s">
        <v>107</v>
      </c>
      <c r="E3" s="22" t="s">
        <v>2</v>
      </c>
      <c r="F3" t="s">
        <v>722</v>
      </c>
    </row>
    <row r="4" spans="1:6">
      <c r="B4">
        <v>6</v>
      </c>
      <c r="D4" t="s">
        <v>108</v>
      </c>
      <c r="E4" s="22" t="s">
        <v>68</v>
      </c>
      <c r="F4" t="s">
        <v>723</v>
      </c>
    </row>
    <row r="5" spans="1:6">
      <c r="B5">
        <v>8</v>
      </c>
      <c r="D5" t="s">
        <v>109</v>
      </c>
      <c r="E5" s="22" t="s">
        <v>72</v>
      </c>
      <c r="F5" t="s">
        <v>724</v>
      </c>
    </row>
    <row r="6" spans="1:6">
      <c r="B6">
        <v>12</v>
      </c>
      <c r="D6" t="s">
        <v>110</v>
      </c>
      <c r="E6" s="22" t="s">
        <v>67</v>
      </c>
      <c r="F6" t="s">
        <v>725</v>
      </c>
    </row>
    <row r="7" spans="1:6">
      <c r="B7">
        <v>18</v>
      </c>
      <c r="D7" t="s">
        <v>111</v>
      </c>
      <c r="E7" s="22"/>
      <c r="F7" s="22" t="s">
        <v>726</v>
      </c>
    </row>
    <row r="8" spans="1:6">
      <c r="B8">
        <v>24</v>
      </c>
      <c r="D8" t="s">
        <v>112</v>
      </c>
      <c r="E8" s="22"/>
      <c r="F8" t="s">
        <v>727</v>
      </c>
    </row>
    <row r="9" spans="1:6">
      <c r="B9">
        <v>36</v>
      </c>
      <c r="D9" t="s">
        <v>113</v>
      </c>
      <c r="E9" s="22"/>
      <c r="F9" t="s">
        <v>728</v>
      </c>
    </row>
    <row r="10" spans="1:6">
      <c r="B10">
        <v>48</v>
      </c>
      <c r="D10" t="s">
        <v>114</v>
      </c>
      <c r="E10" s="22"/>
      <c r="F10" t="s">
        <v>729</v>
      </c>
    </row>
    <row r="11" spans="1:6" ht="17">
      <c r="A11" s="1"/>
      <c r="D11" t="s">
        <v>115</v>
      </c>
      <c r="E11" s="22"/>
      <c r="F11" t="s">
        <v>730</v>
      </c>
    </row>
    <row r="12" spans="1:6" ht="17">
      <c r="A12" s="1"/>
      <c r="D12" t="s">
        <v>116</v>
      </c>
      <c r="E12" s="22"/>
    </row>
    <row r="13" spans="1:6">
      <c r="D13" t="s">
        <v>117</v>
      </c>
      <c r="E13" s="22"/>
    </row>
    <row r="14" spans="1:6">
      <c r="D14" t="s">
        <v>118</v>
      </c>
      <c r="E14" s="22"/>
    </row>
    <row r="15" spans="1:6">
      <c r="D15" t="s">
        <v>119</v>
      </c>
      <c r="E15" s="22"/>
    </row>
    <row r="16" spans="1:6" ht="17">
      <c r="A16" s="2"/>
      <c r="D16" t="s">
        <v>120</v>
      </c>
      <c r="E16" s="22"/>
    </row>
    <row r="17" spans="4:5">
      <c r="D17" t="s">
        <v>121</v>
      </c>
      <c r="E17" s="22"/>
    </row>
    <row r="18" spans="4:5">
      <c r="D18" t="s">
        <v>122</v>
      </c>
      <c r="E18" s="22"/>
    </row>
    <row r="19" spans="4:5">
      <c r="D19" t="s">
        <v>123</v>
      </c>
      <c r="E19" s="22"/>
    </row>
    <row r="20" spans="4:5">
      <c r="D20" t="s">
        <v>124</v>
      </c>
      <c r="E20" s="22"/>
    </row>
    <row r="21" spans="4:5">
      <c r="D21" t="s">
        <v>125</v>
      </c>
      <c r="E21" s="22"/>
    </row>
    <row r="22" spans="4:5">
      <c r="D22" t="s">
        <v>126</v>
      </c>
      <c r="E22" s="22"/>
    </row>
    <row r="23" spans="4:5">
      <c r="D23" t="s">
        <v>127</v>
      </c>
      <c r="E23" s="22"/>
    </row>
    <row r="24" spans="4:5">
      <c r="D24" t="s">
        <v>128</v>
      </c>
      <c r="E24" s="22"/>
    </row>
    <row r="25" spans="4:5">
      <c r="D25" t="s">
        <v>129</v>
      </c>
      <c r="E25" s="22"/>
    </row>
    <row r="26" spans="4:5">
      <c r="D26" t="s">
        <v>130</v>
      </c>
      <c r="E26" s="22"/>
    </row>
    <row r="27" spans="4:5">
      <c r="D27" t="s">
        <v>131</v>
      </c>
    </row>
    <row r="28" spans="4:5">
      <c r="D28" t="s">
        <v>132</v>
      </c>
    </row>
    <row r="29" spans="4:5">
      <c r="D29" t="s">
        <v>133</v>
      </c>
    </row>
    <row r="30" spans="4:5">
      <c r="D30" t="s">
        <v>134</v>
      </c>
    </row>
    <row r="31" spans="4:5">
      <c r="D31" t="s">
        <v>135</v>
      </c>
    </row>
    <row r="32" spans="4:5">
      <c r="D32" t="s">
        <v>136</v>
      </c>
    </row>
    <row r="33" spans="4:4">
      <c r="D33" t="s">
        <v>137</v>
      </c>
    </row>
    <row r="34" spans="4:4">
      <c r="D34" t="s">
        <v>138</v>
      </c>
    </row>
    <row r="35" spans="4:4">
      <c r="D35" t="s">
        <v>139</v>
      </c>
    </row>
    <row r="36" spans="4:4">
      <c r="D36" t="s">
        <v>140</v>
      </c>
    </row>
    <row r="37" spans="4:4">
      <c r="D37" t="s">
        <v>141</v>
      </c>
    </row>
    <row r="38" spans="4:4">
      <c r="D38" t="s">
        <v>142</v>
      </c>
    </row>
    <row r="39" spans="4:4">
      <c r="D39" t="s">
        <v>143</v>
      </c>
    </row>
    <row r="40" spans="4:4">
      <c r="D40" t="s">
        <v>144</v>
      </c>
    </row>
    <row r="41" spans="4:4">
      <c r="D41" t="s">
        <v>145</v>
      </c>
    </row>
    <row r="42" spans="4:4">
      <c r="D42" t="s">
        <v>146</v>
      </c>
    </row>
    <row r="43" spans="4:4">
      <c r="D43" t="s">
        <v>147</v>
      </c>
    </row>
    <row r="44" spans="4:4">
      <c r="D44" t="s">
        <v>148</v>
      </c>
    </row>
    <row r="45" spans="4:4">
      <c r="D45" t="s">
        <v>149</v>
      </c>
    </row>
    <row r="46" spans="4:4">
      <c r="D46" t="s">
        <v>150</v>
      </c>
    </row>
    <row r="47" spans="4:4">
      <c r="D47" t="s">
        <v>151</v>
      </c>
    </row>
    <row r="48" spans="4:4">
      <c r="D48" t="s">
        <v>152</v>
      </c>
    </row>
    <row r="49" spans="4:4">
      <c r="D49" t="s">
        <v>153</v>
      </c>
    </row>
    <row r="50" spans="4:4">
      <c r="D50" t="s">
        <v>154</v>
      </c>
    </row>
    <row r="51" spans="4:4">
      <c r="D51" t="s">
        <v>155</v>
      </c>
    </row>
    <row r="52" spans="4:4">
      <c r="D52" t="s">
        <v>156</v>
      </c>
    </row>
    <row r="53" spans="4:4">
      <c r="D53" t="s">
        <v>157</v>
      </c>
    </row>
    <row r="54" spans="4:4">
      <c r="D54" t="s">
        <v>158</v>
      </c>
    </row>
    <row r="55" spans="4:4">
      <c r="D55" t="s">
        <v>159</v>
      </c>
    </row>
    <row r="56" spans="4:4">
      <c r="D56" t="s">
        <v>160</v>
      </c>
    </row>
    <row r="57" spans="4:4">
      <c r="D57" t="s">
        <v>161</v>
      </c>
    </row>
    <row r="58" spans="4:4">
      <c r="D58" t="s">
        <v>162</v>
      </c>
    </row>
    <row r="59" spans="4:4">
      <c r="D59" t="s">
        <v>163</v>
      </c>
    </row>
    <row r="60" spans="4:4">
      <c r="D60" t="s">
        <v>164</v>
      </c>
    </row>
    <row r="61" spans="4:4">
      <c r="D61" t="s">
        <v>165</v>
      </c>
    </row>
    <row r="62" spans="4:4">
      <c r="D62" t="s">
        <v>166</v>
      </c>
    </row>
    <row r="63" spans="4:4">
      <c r="D63" t="s">
        <v>167</v>
      </c>
    </row>
    <row r="64" spans="4:4">
      <c r="D64" t="s">
        <v>168</v>
      </c>
    </row>
    <row r="65" spans="4:4">
      <c r="D65" t="s">
        <v>169</v>
      </c>
    </row>
    <row r="66" spans="4:4">
      <c r="D66" t="s">
        <v>170</v>
      </c>
    </row>
    <row r="67" spans="4:4">
      <c r="D67" t="s">
        <v>171</v>
      </c>
    </row>
    <row r="68" spans="4:4">
      <c r="D68" t="s">
        <v>172</v>
      </c>
    </row>
    <row r="69" spans="4:4">
      <c r="D69" t="s">
        <v>173</v>
      </c>
    </row>
    <row r="70" spans="4:4">
      <c r="D70" t="s">
        <v>174</v>
      </c>
    </row>
    <row r="71" spans="4:4">
      <c r="D71" t="s">
        <v>175</v>
      </c>
    </row>
    <row r="72" spans="4:4">
      <c r="D72" t="s">
        <v>176</v>
      </c>
    </row>
    <row r="73" spans="4:4">
      <c r="D73" t="s">
        <v>177</v>
      </c>
    </row>
    <row r="74" spans="4:4">
      <c r="D74" t="s">
        <v>178</v>
      </c>
    </row>
    <row r="75" spans="4:4">
      <c r="D75" t="s">
        <v>179</v>
      </c>
    </row>
    <row r="76" spans="4:4">
      <c r="D76" t="s">
        <v>180</v>
      </c>
    </row>
    <row r="77" spans="4:4">
      <c r="D77" t="s">
        <v>181</v>
      </c>
    </row>
    <row r="78" spans="4:4">
      <c r="D78" t="s">
        <v>182</v>
      </c>
    </row>
    <row r="79" spans="4:4">
      <c r="D79" t="s">
        <v>183</v>
      </c>
    </row>
    <row r="80" spans="4:4">
      <c r="D80" t="s">
        <v>184</v>
      </c>
    </row>
    <row r="81" spans="4:4">
      <c r="D81" t="s">
        <v>185</v>
      </c>
    </row>
    <row r="82" spans="4:4">
      <c r="D82" t="s">
        <v>186</v>
      </c>
    </row>
    <row r="83" spans="4:4">
      <c r="D83" t="s">
        <v>187</v>
      </c>
    </row>
    <row r="84" spans="4:4">
      <c r="D84" t="s">
        <v>188</v>
      </c>
    </row>
    <row r="85" spans="4:4">
      <c r="D85" t="s">
        <v>189</v>
      </c>
    </row>
    <row r="86" spans="4:4">
      <c r="D86" t="s">
        <v>190</v>
      </c>
    </row>
    <row r="87" spans="4:4">
      <c r="D87" t="s">
        <v>191</v>
      </c>
    </row>
    <row r="88" spans="4:4">
      <c r="D88" t="s">
        <v>192</v>
      </c>
    </row>
    <row r="89" spans="4:4">
      <c r="D89" t="s">
        <v>193</v>
      </c>
    </row>
    <row r="90" spans="4:4">
      <c r="D90" t="s">
        <v>194</v>
      </c>
    </row>
    <row r="91" spans="4:4">
      <c r="D91" t="s">
        <v>195</v>
      </c>
    </row>
    <row r="92" spans="4:4">
      <c r="D92" t="s">
        <v>196</v>
      </c>
    </row>
    <row r="93" spans="4:4">
      <c r="D93" t="s">
        <v>197</v>
      </c>
    </row>
    <row r="94" spans="4:4">
      <c r="D94" t="s">
        <v>198</v>
      </c>
    </row>
    <row r="95" spans="4:4">
      <c r="D95" t="s">
        <v>199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Yodis, Jessica</cp:lastModifiedBy>
  <dcterms:created xsi:type="dcterms:W3CDTF">2017-01-26T16:06:52Z</dcterms:created>
  <dcterms:modified xsi:type="dcterms:W3CDTF">2019-02-17T02:52:41Z</dcterms:modified>
</cp:coreProperties>
</file>